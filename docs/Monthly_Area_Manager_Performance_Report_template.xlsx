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r\Jae Dang\"/>
    </mc:Choice>
  </mc:AlternateContent>
  <bookViews>
    <workbookView xWindow="0" yWindow="0" windowWidth="16388" windowHeight="8190" tabRatio="500"/>
  </bookViews>
  <sheets>
    <sheet name="Aug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20" i="1" l="1"/>
  <c r="AB119" i="1"/>
  <c r="AB118" i="1"/>
  <c r="AB117" i="1"/>
  <c r="AB116" i="1"/>
  <c r="AB115" i="1"/>
  <c r="AB114" i="1"/>
  <c r="AB113" i="1"/>
  <c r="AB112" i="1"/>
  <c r="AB111" i="1"/>
  <c r="Y120" i="1"/>
  <c r="Y119" i="1"/>
  <c r="Y118" i="1"/>
  <c r="Y117" i="1"/>
  <c r="Y116" i="1"/>
  <c r="Y115" i="1"/>
  <c r="Y114" i="1"/>
  <c r="Y113" i="1"/>
  <c r="Y112" i="1"/>
  <c r="Y111" i="1"/>
  <c r="V120" i="1"/>
  <c r="V119" i="1"/>
  <c r="V118" i="1"/>
  <c r="V117" i="1"/>
  <c r="V116" i="1"/>
  <c r="V115" i="1"/>
  <c r="V114" i="1"/>
  <c r="V113" i="1"/>
  <c r="V112" i="1"/>
  <c r="V111" i="1"/>
  <c r="V126" i="1" s="1"/>
  <c r="AB125" i="1"/>
  <c r="AB124" i="1"/>
  <c r="AB123" i="1"/>
  <c r="AB122" i="1"/>
  <c r="Y125" i="1"/>
  <c r="Y124" i="1"/>
  <c r="Y123" i="1"/>
  <c r="Y122" i="1"/>
  <c r="Y126" i="1"/>
  <c r="V122" i="1"/>
  <c r="V123" i="1"/>
  <c r="V124" i="1"/>
  <c r="V125" i="1"/>
  <c r="D149" i="1"/>
  <c r="E149" i="1"/>
  <c r="F149" i="1"/>
  <c r="M149" i="1"/>
  <c r="J149" i="1"/>
  <c r="K149" i="1"/>
  <c r="L149" i="1"/>
  <c r="I149" i="1"/>
  <c r="H149" i="1"/>
  <c r="G149" i="1"/>
  <c r="C149" i="1"/>
  <c r="B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F136" i="1"/>
  <c r="A136" i="1"/>
  <c r="F135" i="1"/>
  <c r="A135" i="1"/>
  <c r="F134" i="1"/>
  <c r="A134" i="1"/>
  <c r="AE126" i="1"/>
  <c r="AD126" i="1"/>
  <c r="AC126" i="1"/>
  <c r="S125" i="1"/>
  <c r="P125" i="1"/>
  <c r="M125" i="1"/>
  <c r="J125" i="1"/>
  <c r="G125" i="1"/>
  <c r="D125" i="1"/>
  <c r="S124" i="1"/>
  <c r="P124" i="1"/>
  <c r="M124" i="1"/>
  <c r="J124" i="1"/>
  <c r="G124" i="1"/>
  <c r="D124" i="1"/>
  <c r="S123" i="1"/>
  <c r="P123" i="1"/>
  <c r="M123" i="1"/>
  <c r="J123" i="1"/>
  <c r="G123" i="1"/>
  <c r="D123" i="1"/>
  <c r="S122" i="1"/>
  <c r="P122" i="1"/>
  <c r="M122" i="1"/>
  <c r="J122" i="1"/>
  <c r="G122" i="1"/>
  <c r="D122" i="1"/>
  <c r="J121" i="1"/>
  <c r="G121" i="1"/>
  <c r="S120" i="1"/>
  <c r="P120" i="1"/>
  <c r="M120" i="1"/>
  <c r="J120" i="1"/>
  <c r="G120" i="1"/>
  <c r="D120" i="1"/>
  <c r="S119" i="1"/>
  <c r="P119" i="1"/>
  <c r="M119" i="1"/>
  <c r="J119" i="1"/>
  <c r="G119" i="1"/>
  <c r="D119" i="1"/>
  <c r="S118" i="1"/>
  <c r="P118" i="1"/>
  <c r="M118" i="1"/>
  <c r="J118" i="1"/>
  <c r="G118" i="1"/>
  <c r="D118" i="1"/>
  <c r="S117" i="1"/>
  <c r="P117" i="1"/>
  <c r="M117" i="1"/>
  <c r="J117" i="1"/>
  <c r="G117" i="1"/>
  <c r="D117" i="1"/>
  <c r="S116" i="1"/>
  <c r="P116" i="1"/>
  <c r="M116" i="1"/>
  <c r="J116" i="1"/>
  <c r="G116" i="1"/>
  <c r="D116" i="1"/>
  <c r="S115" i="1"/>
  <c r="P115" i="1"/>
  <c r="M115" i="1"/>
  <c r="J115" i="1"/>
  <c r="G115" i="1"/>
  <c r="D115" i="1"/>
  <c r="S114" i="1"/>
  <c r="P114" i="1"/>
  <c r="M114" i="1"/>
  <c r="J114" i="1"/>
  <c r="G114" i="1"/>
  <c r="D114" i="1"/>
  <c r="S113" i="1"/>
  <c r="P113" i="1"/>
  <c r="M113" i="1"/>
  <c r="J113" i="1"/>
  <c r="G113" i="1"/>
  <c r="D113" i="1"/>
  <c r="S112" i="1"/>
  <c r="P112" i="1"/>
  <c r="M112" i="1"/>
  <c r="J112" i="1"/>
  <c r="G112" i="1"/>
  <c r="D112" i="1"/>
  <c r="S111" i="1"/>
  <c r="S126" i="1" s="1"/>
  <c r="P111" i="1"/>
  <c r="P126" i="1" s="1"/>
  <c r="M111" i="1"/>
  <c r="M126" i="1" s="1"/>
  <c r="J111" i="1"/>
  <c r="J126" i="1" s="1"/>
  <c r="G111" i="1"/>
  <c r="G126" i="1" s="1"/>
  <c r="D111" i="1"/>
  <c r="D126" i="1" s="1"/>
  <c r="T92" i="1"/>
  <c r="S92" i="1"/>
  <c r="L92" i="1"/>
  <c r="K92" i="1"/>
  <c r="J92" i="1"/>
  <c r="I92" i="1"/>
  <c r="H92" i="1"/>
  <c r="G92" i="1"/>
  <c r="F92" i="1"/>
  <c r="A92" i="1"/>
  <c r="E92" i="1" s="1"/>
  <c r="T91" i="1"/>
  <c r="S91" i="1"/>
  <c r="L91" i="1"/>
  <c r="K91" i="1"/>
  <c r="I91" i="1"/>
  <c r="H91" i="1"/>
  <c r="A91" i="1"/>
  <c r="G91" i="1" s="1"/>
  <c r="T90" i="1"/>
  <c r="S90" i="1"/>
  <c r="J90" i="1"/>
  <c r="A90" i="1"/>
  <c r="I90" i="1" s="1"/>
  <c r="L89" i="1"/>
  <c r="A89" i="1"/>
  <c r="K89" i="1" s="1"/>
  <c r="T88" i="1"/>
  <c r="E88" i="1"/>
  <c r="D88" i="1"/>
  <c r="C88" i="1"/>
  <c r="A88" i="1"/>
  <c r="S88" i="1" s="1"/>
  <c r="V87" i="1"/>
  <c r="K87" i="1"/>
  <c r="J87" i="1"/>
  <c r="I87" i="1"/>
  <c r="H87" i="1"/>
  <c r="G87" i="1"/>
  <c r="F87" i="1"/>
  <c r="E87" i="1"/>
  <c r="D87" i="1"/>
  <c r="C87" i="1"/>
  <c r="B87" i="1"/>
  <c r="A87" i="1"/>
  <c r="U87" i="1" s="1"/>
  <c r="S86" i="1"/>
  <c r="L86" i="1"/>
  <c r="K86" i="1"/>
  <c r="J86" i="1"/>
  <c r="I86" i="1"/>
  <c r="H86" i="1"/>
  <c r="G86" i="1"/>
  <c r="F86" i="1"/>
  <c r="E86" i="1"/>
  <c r="D86" i="1"/>
  <c r="C86" i="1"/>
  <c r="A86" i="1"/>
  <c r="V86" i="1" s="1"/>
  <c r="T85" i="1"/>
  <c r="S85" i="1"/>
  <c r="L85" i="1"/>
  <c r="K85" i="1"/>
  <c r="J85" i="1"/>
  <c r="I85" i="1"/>
  <c r="H85" i="1"/>
  <c r="G85" i="1"/>
  <c r="F85" i="1"/>
  <c r="A85" i="1"/>
  <c r="E85" i="1" s="1"/>
  <c r="T84" i="1"/>
  <c r="S84" i="1"/>
  <c r="L84" i="1"/>
  <c r="K84" i="1"/>
  <c r="I84" i="1"/>
  <c r="H84" i="1"/>
  <c r="A84" i="1"/>
  <c r="G84" i="1" s="1"/>
  <c r="T83" i="1"/>
  <c r="S83" i="1"/>
  <c r="J83" i="1"/>
  <c r="A83" i="1"/>
  <c r="I83" i="1" s="1"/>
  <c r="L82" i="1"/>
  <c r="A82" i="1"/>
  <c r="K82" i="1" s="1"/>
  <c r="T81" i="1"/>
  <c r="E81" i="1"/>
  <c r="D81" i="1"/>
  <c r="C81" i="1"/>
  <c r="A81" i="1"/>
  <c r="S81" i="1" s="1"/>
  <c r="V80" i="1"/>
  <c r="K80" i="1"/>
  <c r="J80" i="1"/>
  <c r="I80" i="1"/>
  <c r="H80" i="1"/>
  <c r="G80" i="1"/>
  <c r="F80" i="1"/>
  <c r="E80" i="1"/>
  <c r="D80" i="1"/>
  <c r="C80" i="1"/>
  <c r="B80" i="1"/>
  <c r="A80" i="1"/>
  <c r="U80" i="1" s="1"/>
  <c r="S79" i="1"/>
  <c r="L79" i="1"/>
  <c r="K79" i="1"/>
  <c r="J79" i="1"/>
  <c r="I79" i="1"/>
  <c r="H79" i="1"/>
  <c r="G79" i="1"/>
  <c r="F79" i="1"/>
  <c r="E79" i="1"/>
  <c r="D79" i="1"/>
  <c r="C79" i="1"/>
  <c r="A79" i="1"/>
  <c r="V79" i="1" s="1"/>
  <c r="T78" i="1"/>
  <c r="S78" i="1"/>
  <c r="L78" i="1"/>
  <c r="K78" i="1"/>
  <c r="J78" i="1"/>
  <c r="I78" i="1"/>
  <c r="H78" i="1"/>
  <c r="G78" i="1"/>
  <c r="F78" i="1"/>
  <c r="A78" i="1"/>
  <c r="E78" i="1" s="1"/>
  <c r="D73" i="1"/>
  <c r="A73" i="1"/>
  <c r="J70" i="1"/>
  <c r="G70" i="1"/>
  <c r="D70" i="1"/>
  <c r="A70" i="1"/>
  <c r="J69" i="1"/>
  <c r="G69" i="1"/>
  <c r="D69" i="1"/>
  <c r="A69" i="1"/>
  <c r="A66" i="1"/>
  <c r="R36" i="1"/>
  <c r="Q36" i="1"/>
  <c r="P36" i="1"/>
  <c r="O36" i="1"/>
  <c r="F36" i="1"/>
  <c r="R35" i="1"/>
  <c r="Q35" i="1"/>
  <c r="P35" i="1"/>
  <c r="O35" i="1"/>
  <c r="F35" i="1"/>
  <c r="R34" i="1"/>
  <c r="Q34" i="1"/>
  <c r="P34" i="1"/>
  <c r="O34" i="1"/>
  <c r="F34" i="1"/>
  <c r="R33" i="1"/>
  <c r="Q33" i="1"/>
  <c r="P33" i="1"/>
  <c r="O33" i="1"/>
  <c r="F33" i="1"/>
  <c r="R32" i="1"/>
  <c r="Q32" i="1"/>
  <c r="P32" i="1"/>
  <c r="O32" i="1"/>
  <c r="F32" i="1"/>
  <c r="R31" i="1"/>
  <c r="Q31" i="1"/>
  <c r="P31" i="1"/>
  <c r="O31" i="1"/>
  <c r="F31" i="1"/>
  <c r="R30" i="1"/>
  <c r="Q30" i="1"/>
  <c r="P30" i="1"/>
  <c r="O30" i="1"/>
  <c r="F30" i="1"/>
  <c r="R29" i="1"/>
  <c r="Q29" i="1"/>
  <c r="P29" i="1"/>
  <c r="O29" i="1"/>
  <c r="F29" i="1"/>
  <c r="R28" i="1"/>
  <c r="Q28" i="1"/>
  <c r="P28" i="1"/>
  <c r="O28" i="1"/>
  <c r="F28" i="1"/>
  <c r="E28" i="1"/>
  <c r="D28" i="1"/>
  <c r="C28" i="1"/>
  <c r="B28" i="1"/>
  <c r="A28" i="1"/>
  <c r="F27" i="1"/>
  <c r="E27" i="1"/>
  <c r="D27" i="1"/>
  <c r="C27" i="1"/>
  <c r="B27" i="1"/>
  <c r="A27" i="1"/>
  <c r="R27" i="1" s="1"/>
  <c r="R26" i="1"/>
  <c r="Q26" i="1"/>
  <c r="E26" i="1"/>
  <c r="D26" i="1"/>
  <c r="C26" i="1"/>
  <c r="B26" i="1"/>
  <c r="A26" i="1"/>
  <c r="P26" i="1" s="1"/>
  <c r="R25" i="1"/>
  <c r="Q25" i="1"/>
  <c r="P25" i="1"/>
  <c r="O25" i="1"/>
  <c r="F25" i="1"/>
  <c r="E25" i="1"/>
  <c r="D25" i="1"/>
  <c r="C25" i="1"/>
  <c r="B25" i="1"/>
  <c r="A25" i="1"/>
  <c r="E24" i="1"/>
  <c r="D24" i="1"/>
  <c r="C24" i="1"/>
  <c r="B24" i="1"/>
  <c r="A24" i="1"/>
  <c r="F24" i="1" s="1"/>
  <c r="E23" i="1"/>
  <c r="D23" i="1"/>
  <c r="C23" i="1"/>
  <c r="B23" i="1"/>
  <c r="A23" i="1"/>
  <c r="R23" i="1" s="1"/>
  <c r="R22" i="1"/>
  <c r="Q22" i="1"/>
  <c r="P22" i="1"/>
  <c r="O22" i="1"/>
  <c r="F22" i="1"/>
  <c r="E22" i="1"/>
  <c r="D22" i="1"/>
  <c r="C22" i="1"/>
  <c r="B22" i="1"/>
  <c r="A22" i="1"/>
  <c r="R21" i="1"/>
  <c r="Q21" i="1"/>
  <c r="P21" i="1"/>
  <c r="O21" i="1"/>
  <c r="F21" i="1"/>
  <c r="E21" i="1"/>
  <c r="D21" i="1"/>
  <c r="C21" i="1"/>
  <c r="B21" i="1"/>
  <c r="A21" i="1"/>
  <c r="E20" i="1"/>
  <c r="D20" i="1"/>
  <c r="C20" i="1"/>
  <c r="B20" i="1"/>
  <c r="A20" i="1"/>
  <c r="R20" i="1" s="1"/>
  <c r="R19" i="1"/>
  <c r="Q19" i="1"/>
  <c r="E19" i="1"/>
  <c r="D19" i="1"/>
  <c r="C19" i="1"/>
  <c r="B19" i="1"/>
  <c r="A19" i="1"/>
  <c r="P19" i="1" s="1"/>
  <c r="R18" i="1"/>
  <c r="Q18" i="1"/>
  <c r="P18" i="1"/>
  <c r="O18" i="1"/>
  <c r="F18" i="1"/>
  <c r="E18" i="1"/>
  <c r="D18" i="1"/>
  <c r="C18" i="1"/>
  <c r="B18" i="1"/>
  <c r="A18" i="1"/>
  <c r="E17" i="1"/>
  <c r="D17" i="1"/>
  <c r="C17" i="1"/>
  <c r="B17" i="1"/>
  <c r="A17" i="1"/>
  <c r="O17" i="1" s="1"/>
  <c r="E16" i="1"/>
  <c r="D16" i="1"/>
  <c r="C16" i="1"/>
  <c r="B16" i="1"/>
  <c r="A16" i="1"/>
  <c r="R16" i="1" s="1"/>
  <c r="R15" i="1"/>
  <c r="Q15" i="1"/>
  <c r="P15" i="1"/>
  <c r="O15" i="1"/>
  <c r="F15" i="1"/>
  <c r="E15" i="1"/>
  <c r="D15" i="1"/>
  <c r="C15" i="1"/>
  <c r="B15" i="1"/>
  <c r="A15" i="1"/>
  <c r="R14" i="1"/>
  <c r="Q14" i="1"/>
  <c r="P14" i="1"/>
  <c r="O14" i="1"/>
  <c r="F14" i="1"/>
  <c r="E14" i="1"/>
  <c r="D14" i="1"/>
  <c r="C14" i="1"/>
  <c r="B14" i="1"/>
  <c r="A14" i="1"/>
  <c r="D9" i="1"/>
  <c r="A9" i="1"/>
  <c r="J6" i="1"/>
  <c r="G6" i="1"/>
  <c r="D6" i="1"/>
  <c r="A6" i="1"/>
  <c r="J5" i="1"/>
  <c r="G5" i="1"/>
  <c r="D5" i="1"/>
  <c r="A5" i="1"/>
  <c r="A2" i="1"/>
  <c r="AB126" i="1" l="1"/>
  <c r="U81" i="1"/>
  <c r="S82" i="1"/>
  <c r="K83" i="1"/>
  <c r="U88" i="1"/>
  <c r="S89" i="1"/>
  <c r="K90" i="1"/>
  <c r="B81" i="1"/>
  <c r="V81" i="1"/>
  <c r="T82" i="1"/>
  <c r="L83" i="1"/>
  <c r="J84" i="1"/>
  <c r="B88" i="1"/>
  <c r="V88" i="1"/>
  <c r="T89" i="1"/>
  <c r="L90" i="1"/>
  <c r="J91" i="1"/>
  <c r="B82" i="1"/>
  <c r="V82" i="1"/>
  <c r="B89" i="1"/>
  <c r="U83" i="1"/>
  <c r="U90" i="1"/>
  <c r="F81" i="1"/>
  <c r="B83" i="1"/>
  <c r="F88" i="1"/>
  <c r="P17" i="1"/>
  <c r="F20" i="1"/>
  <c r="E82" i="1"/>
  <c r="C83" i="1"/>
  <c r="U84" i="1"/>
  <c r="G88" i="1"/>
  <c r="E89" i="1"/>
  <c r="C90" i="1"/>
  <c r="U91" i="1"/>
  <c r="Q17" i="1"/>
  <c r="O20" i="1"/>
  <c r="Q24" i="1"/>
  <c r="O27" i="1"/>
  <c r="H81" i="1"/>
  <c r="F82" i="1"/>
  <c r="D83" i="1"/>
  <c r="B84" i="1"/>
  <c r="V84" i="1"/>
  <c r="F16" i="1"/>
  <c r="R17" i="1"/>
  <c r="E41" i="1" s="1"/>
  <c r="P20" i="1"/>
  <c r="F23" i="1"/>
  <c r="R24" i="1"/>
  <c r="B42" i="1" s="1"/>
  <c r="P27" i="1"/>
  <c r="U78" i="1"/>
  <c r="I81" i="1"/>
  <c r="G82" i="1"/>
  <c r="E83" i="1"/>
  <c r="C84" i="1"/>
  <c r="U85" i="1"/>
  <c r="I88" i="1"/>
  <c r="G89" i="1"/>
  <c r="E90" i="1"/>
  <c r="C91" i="1"/>
  <c r="U92" i="1"/>
  <c r="G81" i="1"/>
  <c r="O16" i="1"/>
  <c r="Q20" i="1"/>
  <c r="O23" i="1"/>
  <c r="Q27" i="1"/>
  <c r="B78" i="1"/>
  <c r="V78" i="1"/>
  <c r="T79" i="1"/>
  <c r="L80" i="1"/>
  <c r="J81" i="1"/>
  <c r="H82" i="1"/>
  <c r="F83" i="1"/>
  <c r="D84" i="1"/>
  <c r="B85" i="1"/>
  <c r="V85" i="1"/>
  <c r="T86" i="1"/>
  <c r="L87" i="1"/>
  <c r="J88" i="1"/>
  <c r="H89" i="1"/>
  <c r="F90" i="1"/>
  <c r="D91" i="1"/>
  <c r="B92" i="1"/>
  <c r="V92" i="1"/>
  <c r="U82" i="1"/>
  <c r="C82" i="1"/>
  <c r="O24" i="1"/>
  <c r="V83" i="1"/>
  <c r="B90" i="1"/>
  <c r="V90" i="1"/>
  <c r="P24" i="1"/>
  <c r="P16" i="1"/>
  <c r="F19" i="1"/>
  <c r="P23" i="1"/>
  <c r="F26" i="1"/>
  <c r="C78" i="1"/>
  <c r="U79" i="1"/>
  <c r="S80" i="1"/>
  <c r="K81" i="1"/>
  <c r="I82" i="1"/>
  <c r="G83" i="1"/>
  <c r="E84" i="1"/>
  <c r="C85" i="1"/>
  <c r="U86" i="1"/>
  <c r="S87" i="1"/>
  <c r="K88" i="1"/>
  <c r="I89" i="1"/>
  <c r="G90" i="1"/>
  <c r="E91" i="1"/>
  <c r="C92" i="1"/>
  <c r="U89" i="1"/>
  <c r="V89" i="1"/>
  <c r="F17" i="1"/>
  <c r="C89" i="1"/>
  <c r="D82" i="1"/>
  <c r="D89" i="1"/>
  <c r="H88" i="1"/>
  <c r="F89" i="1"/>
  <c r="D90" i="1"/>
  <c r="B91" i="1"/>
  <c r="V91" i="1"/>
  <c r="Q16" i="1"/>
  <c r="O19" i="1"/>
  <c r="Q23" i="1"/>
  <c r="O26" i="1"/>
  <c r="D78" i="1"/>
  <c r="B79" i="1"/>
  <c r="T80" i="1"/>
  <c r="L81" i="1"/>
  <c r="J82" i="1"/>
  <c r="H83" i="1"/>
  <c r="F84" i="1"/>
  <c r="D85" i="1"/>
  <c r="B86" i="1"/>
  <c r="T87" i="1"/>
  <c r="L88" i="1"/>
  <c r="J89" i="1"/>
  <c r="H90" i="1"/>
  <c r="F91" i="1"/>
  <c r="D92" i="1"/>
  <c r="K43" i="1" l="1"/>
  <c r="B43" i="1"/>
  <c r="E43" i="1"/>
  <c r="I42" i="1"/>
  <c r="E40" i="1"/>
  <c r="K44" i="1"/>
  <c r="I44" i="1"/>
  <c r="B101" i="1"/>
  <c r="E97" i="1"/>
  <c r="E99" i="1"/>
  <c r="B97" i="1"/>
  <c r="E100" i="1"/>
  <c r="B100" i="1"/>
  <c r="B99" i="1"/>
  <c r="E98" i="1"/>
  <c r="B98" i="1"/>
  <c r="E101" i="1"/>
  <c r="B41" i="1"/>
  <c r="I97" i="1"/>
  <c r="K100" i="1"/>
  <c r="K99" i="1"/>
  <c r="I100" i="1"/>
  <c r="I98" i="1"/>
  <c r="I99" i="1"/>
  <c r="K98" i="1"/>
  <c r="K101" i="1"/>
  <c r="I101" i="1"/>
  <c r="K97" i="1"/>
  <c r="B44" i="1"/>
  <c r="E42" i="1"/>
  <c r="K42" i="1"/>
  <c r="E44" i="1"/>
  <c r="I40" i="1"/>
  <c r="B40" i="1"/>
  <c r="K40" i="1"/>
  <c r="I41" i="1"/>
  <c r="I43" i="1"/>
  <c r="K41" i="1"/>
</calcChain>
</file>

<file path=xl/sharedStrings.xml><?xml version="1.0" encoding="utf-8"?>
<sst xmlns="http://schemas.openxmlformats.org/spreadsheetml/2006/main" count="117" uniqueCount="71">
  <si>
    <t>สรุปภาพรวมผลการดำเนินงานสาขา (Area Performance Dashboard)</t>
  </si>
  <si>
    <t>ยอดขายรวม (Sales)</t>
  </si>
  <si>
    <t>กำไร EBIT รวม (฿)</t>
  </si>
  <si>
    <t>ต้นทุนขาย COGs รวม</t>
  </si>
  <si>
    <t>ค่าแรง COL รวม (฿)</t>
  </si>
  <si>
    <t>ข้อร้องเรียนรวม (Complaint)</t>
  </si>
  <si>
    <t>OT รวม (ชม./บาท)</t>
  </si>
  <si>
    <t>ผลการดำเนินงานรายสาขา (Branch Performance) — เทียบ YoY</t>
  </si>
  <si>
    <t>สาขา (Branch)</t>
  </si>
  <si>
    <t>ยอดขาย YoY%</t>
  </si>
  <si>
    <t>EBIT YoY%</t>
  </si>
  <si>
    <t>COL% to Sales Δ</t>
  </si>
  <si>
    <t>Complaint</t>
  </si>
  <si>
    <t>สถานะ / ประเด็นที่พบ</t>
  </si>
  <si>
    <t>ProblemScore</t>
  </si>
  <si>
    <t>ProblemKey</t>
  </si>
  <si>
    <t>RankProblem</t>
  </si>
  <si>
    <t>RankBest</t>
  </si>
  <si>
    <t>(Top 5 Best — by Sales Growth)</t>
  </si>
  <si>
    <t>(Needs Attention)</t>
  </si>
  <si>
    <t>#</t>
  </si>
  <si>
    <t>สาขา</t>
  </si>
  <si>
    <t>ประเด็นที่พบ</t>
  </si>
  <si>
    <t>เปรียบเทียบ Month-on-Month (MoM) — เดือนนี้ vs เดือนก่อนหน้า</t>
  </si>
  <si>
    <t>ยอดขายรวม (Sales) — MoM</t>
  </si>
  <si>
    <t>กำไร EBIT รวม (฿) — MoM</t>
  </si>
  <si>
    <t>ต้นทุนขาย COGs รวม — MoM</t>
  </si>
  <si>
    <t>ค่าแรง COL รวม (฿) — MoM</t>
  </si>
  <si>
    <t>ข้อร้องเรียนรวม (Complaint) — MoM</t>
  </si>
  <si>
    <t>OT รวม (฿) — MoM</t>
  </si>
  <si>
    <t>ผลการดำเนินงานรายสาขา (Branch Performance) — เทียบ MoM</t>
  </si>
  <si>
    <t>ยอดขาย MoM%</t>
  </si>
  <si>
    <t>EBIT MoM%</t>
  </si>
  <si>
    <t>COGs MoM%</t>
  </si>
  <si>
    <t>COL% to Sales Δ (MoM)</t>
  </si>
  <si>
    <t>Complaint Δ (MoM)</t>
  </si>
  <si>
    <t>สถานะ / ประเด็นที่พบ (MoM)</t>
  </si>
  <si>
    <t>Trans Dine In MoM%</t>
  </si>
  <si>
    <t>Ticket Dine In MoM%</t>
  </si>
  <si>
    <t>Trans Del MoM%</t>
  </si>
  <si>
    <t>Ticket Del MoM%</t>
  </si>
  <si>
    <t>OSS % Δ (MoM)</t>
  </si>
  <si>
    <t>สาขาผลงานโดดเด่น MoM (Top 5 Best — by Sales Growth)</t>
  </si>
  <si>
    <t>สาขาที่ต้องให้ความช่วยเหลือ MoM (Needs Attention)</t>
  </si>
  <si>
    <t>กรอกข้อมูลจากตารางนี้ลงไป</t>
  </si>
  <si>
    <t>Monthly Area Manager Performance Report</t>
  </si>
  <si>
    <t>เดือน (Month) :</t>
  </si>
  <si>
    <t>กรอกข้อมูลเฉพาะช่องสีเหลือง (2025 / 2026 / OT / OSS / Complaint) เท่านั้น ส่วน % และ Dashboard จะคำนวณอัตโนมัติ</t>
  </si>
  <si>
    <t xml:space="preserve"> (Branch)</t>
  </si>
  <si>
    <t>Sales</t>
  </si>
  <si>
    <t>EBIT (฿)</t>
  </si>
  <si>
    <t>Trans Dine In</t>
  </si>
  <si>
    <t>Ticket Dine In  (฿)</t>
  </si>
  <si>
    <t>Trans Del</t>
  </si>
  <si>
    <t>Ticket Del (฿)</t>
  </si>
  <si>
    <t>COGs</t>
  </si>
  <si>
    <t>COL  (฿)</t>
  </si>
  <si>
    <t>COL (%) to Sales</t>
  </si>
  <si>
    <t>OT (฿)</t>
  </si>
  <si>
    <t>OSS %</t>
  </si>
  <si>
    <t>OSS Failure and Complaints Explanation</t>
  </si>
  <si>
    <t>2025</t>
  </si>
  <si>
    <t>2026</t>
  </si>
  <si>
    <t>YoY %</t>
  </si>
  <si>
    <t>รวม (Total)</t>
  </si>
  <si>
    <t>ข้อมูลเดือนก่อนหน้า (Previous Month) — สำหรับเปรียบเทียบ Month-on-Month (MoM)</t>
  </si>
  <si>
    <t>เดือนก่อนหน้า (Previous Month) :</t>
  </si>
  <si>
    <t>กรอกข้อมูลเฉพาะช่องสีเหลือง (Sales / EBIT / Trans Dine In / Ticket Dine In / Trans Del / Ticket Del / COGs / COL / OT / OSS % / Complaint) ของเดือนก่อนหน้าเท่านั้น ส่วน COL% และ Dashboard MoM จะคำนวณอัตโนมัติ</t>
  </si>
  <si>
    <t>COL (฿)</t>
  </si>
  <si>
    <t>COL % to Sales</t>
  </si>
  <si>
    <t>Ticket Dine In (฿)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</si>
</sst>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+0.0%;\-0.0%;\-"/>
    <numFmt numFmtId="165" formatCode="#,##0;\(#,##0\);\-"/>
    <numFmt numFmtId="166" formatCode="\+0.00%;\-0.00%;\-"/>
    <numFmt numFmtId="167" formatCode="#,##0.00;\(#,##0.00\);\-"/>
    <numFmt numFmtId="168" formatCode="_(* #,##0.00_);_(* \(#,##0.00\);_(* \-??_);_(@_)"/>
  </numFmts>
  <fonts count="42">
    <font>
      <sz val="11"/>
      <color theme="1"/>
      <name val="Calibri"/>
      <charset val="222"/>
    </font>
    <font>
      <sz val="10"/>
      <name val="Arial"/>
    </font>
    <font>
      <b/>
      <sz val="18"/>
      <color rgb="FFFFFFFF"/>
      <name val="Tahoma"/>
      <family val="2"/>
      <charset val="1"/>
    </font>
    <font>
      <i/>
      <sz val="11"/>
      <color rgb="FF1F3864"/>
      <name val="Tahoma"/>
      <family val="2"/>
      <charset val="1"/>
    </font>
    <font>
      <b/>
      <sz val="10"/>
      <color rgb="FFFFFFFF"/>
      <name val="Tahoma"/>
      <family val="2"/>
      <charset val="1"/>
    </font>
    <font>
      <sz val="9"/>
      <color rgb="FF595959"/>
      <name val="Tahoma"/>
      <family val="2"/>
      <charset val="1"/>
    </font>
    <font>
      <b/>
      <sz val="14"/>
      <color rgb="FF1F3864"/>
      <name val="Tahoma"/>
      <family val="2"/>
      <charset val="1"/>
    </font>
    <font>
      <b/>
      <sz val="16"/>
      <color rgb="FF1F3864"/>
      <name val="Tahoma"/>
      <family val="2"/>
      <charset val="1"/>
    </font>
    <font>
      <b/>
      <sz val="13"/>
      <color rgb="FFFFFFFF"/>
      <name val="Tahoma"/>
      <family val="2"/>
      <charset val="1"/>
    </font>
    <font>
      <sz val="10"/>
      <color rgb="FF1F3864"/>
      <name val="Tahoma"/>
      <family val="2"/>
      <charset val="1"/>
    </font>
    <font>
      <b/>
      <sz val="12"/>
      <color rgb="FFFFFFFF"/>
      <name val="Tahoma"/>
      <family val="2"/>
      <charset val="1"/>
    </font>
    <font>
      <b/>
      <sz val="18"/>
      <color rgb="FFFFFFFF"/>
      <name val="Tahoma"/>
      <charset val="1"/>
    </font>
    <font>
      <sz val="11"/>
      <color rgb="FF1F3864"/>
      <name val="Tahoma"/>
      <charset val="1"/>
    </font>
    <font>
      <b/>
      <sz val="10"/>
      <color rgb="FFFFFFFF"/>
      <name val="Tahoma"/>
      <charset val="1"/>
    </font>
    <font>
      <sz val="9"/>
      <color rgb="FF595959"/>
      <name val="Tahoma"/>
      <charset val="1"/>
    </font>
    <font>
      <b/>
      <sz val="14"/>
      <color rgb="FF1F3864"/>
      <name val="Tahoma"/>
      <charset val="1"/>
    </font>
    <font>
      <b/>
      <sz val="12"/>
      <color rgb="FF1F3864"/>
      <name val="Tahoma"/>
      <charset val="1"/>
    </font>
    <font>
      <b/>
      <sz val="13"/>
      <color rgb="FFFFFFFF"/>
      <name val="Tahoma"/>
      <charset val="1"/>
    </font>
    <font>
      <b/>
      <sz val="10"/>
      <color rgb="FF1F3864"/>
      <name val="Tahoma"/>
      <charset val="1"/>
    </font>
    <font>
      <sz val="10"/>
      <color rgb="FF1F3864"/>
      <name val="Tahoma"/>
      <charset val="1"/>
    </font>
    <font>
      <sz val="8"/>
      <color rgb="FF9E9E9E"/>
      <name val="Tahoma"/>
      <charset val="1"/>
    </font>
    <font>
      <b/>
      <sz val="11"/>
      <color rgb="FFFFFFFF"/>
      <name val="Tahoma"/>
      <charset val="1"/>
    </font>
    <font>
      <b/>
      <sz val="48"/>
      <color rgb="FFFF0000"/>
      <name val="FreeSans"/>
      <family val="2"/>
      <charset val="1"/>
    </font>
    <font>
      <b/>
      <sz val="16"/>
      <color rgb="FFFFFFFF"/>
      <name val="Tahoma"/>
      <family val="2"/>
      <charset val="1"/>
    </font>
    <font>
      <b/>
      <sz val="11"/>
      <color rgb="FF1F3864"/>
      <name val="Tahoma"/>
      <family val="2"/>
      <charset val="1"/>
    </font>
    <font>
      <b/>
      <sz val="12"/>
      <color rgb="FF7F6000"/>
      <name val="Tahoma"/>
      <family val="2"/>
      <charset val="1"/>
    </font>
    <font>
      <i/>
      <sz val="9"/>
      <color rgb="FF808080"/>
      <name val="Tahoma"/>
      <family val="2"/>
      <charset val="1"/>
    </font>
    <font>
      <b/>
      <sz val="11"/>
      <color rgb="FFFFFFFF"/>
      <name val="Tahoma"/>
      <family val="2"/>
      <charset val="1"/>
    </font>
    <font>
      <b/>
      <sz val="11"/>
      <color theme="0"/>
      <name val="Tahoma"/>
      <family val="2"/>
      <charset val="1"/>
    </font>
    <font>
      <b/>
      <sz val="14"/>
      <name val="Calibri"/>
      <family val="2"/>
      <charset val="1"/>
    </font>
    <font>
      <b/>
      <sz val="10"/>
      <color rgb="FF1F3864"/>
      <name val="Tahoma"/>
      <family val="2"/>
      <charset val="1"/>
    </font>
    <font>
      <sz val="10"/>
      <color rgb="FF002060"/>
      <name val="Tahoma"/>
      <family val="2"/>
      <charset val="1"/>
    </font>
    <font>
      <b/>
      <sz val="10"/>
      <color rgb="FF000000"/>
      <name val="Tahoma"/>
      <family val="2"/>
      <charset val="1"/>
    </font>
    <font>
      <sz val="10"/>
      <color theme="0"/>
      <name val="Tahoma"/>
      <family val="2"/>
      <charset val="1"/>
    </font>
    <font>
      <sz val="10"/>
      <name val="Tahoma"/>
      <family val="2"/>
      <charset val="1"/>
    </font>
    <font>
      <sz val="10"/>
      <color rgb="FF0000FF"/>
      <name val="Tahoma"/>
      <family val="2"/>
      <charset val="1"/>
    </font>
    <font>
      <sz val="11"/>
      <color theme="1"/>
      <name val="FreeSans"/>
      <family val="2"/>
      <charset val="1"/>
    </font>
    <font>
      <sz val="11"/>
      <color rgb="FF002060"/>
      <name val="Calibri"/>
      <family val="2"/>
      <charset val="1"/>
    </font>
    <font>
      <b/>
      <sz val="16"/>
      <color rgb="FFFFFFFF"/>
      <name val="Tahoma"/>
      <charset val="1"/>
    </font>
    <font>
      <b/>
      <sz val="11"/>
      <color rgb="FF1F3864"/>
      <name val="Tahoma"/>
      <charset val="1"/>
    </font>
    <font>
      <sz val="10"/>
      <color rgb="FF002060"/>
      <name val="Tahoma"/>
      <charset val="1"/>
    </font>
    <font>
      <i/>
      <sz val="9"/>
      <color rgb="FF808080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002060"/>
      </patternFill>
    </fill>
    <fill>
      <patternFill patternType="solid">
        <fgColor rgb="FFD9E2F3"/>
        <bgColor rgb="FFD9D9D9"/>
      </patternFill>
    </fill>
    <fill>
      <patternFill patternType="solid">
        <fgColor rgb="FF2E5395"/>
        <bgColor rgb="FF2F5F8F"/>
      </patternFill>
    </fill>
    <fill>
      <patternFill patternType="solid">
        <fgColor rgb="FFF2F2F2"/>
        <bgColor rgb="FFF5F8FC"/>
      </patternFill>
    </fill>
    <fill>
      <patternFill patternType="solid">
        <fgColor rgb="FFFFFFFF"/>
        <bgColor rgb="FFFFFFF3"/>
      </patternFill>
    </fill>
    <fill>
      <patternFill patternType="solid">
        <fgColor rgb="FF2E7D57"/>
        <bgColor rgb="FF1F6F5C"/>
      </patternFill>
    </fill>
    <fill>
      <patternFill patternType="solid">
        <fgColor rgb="FFA5342A"/>
        <bgColor rgb="FF8C5A2B"/>
      </patternFill>
    </fill>
    <fill>
      <patternFill patternType="solid">
        <fgColor rgb="FFF5F8FC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FFF2CC"/>
        <bgColor rgb="FFFFFFCC"/>
      </patternFill>
    </fill>
    <fill>
      <patternFill patternType="solid">
        <fgColor rgb="FFFFFFF3"/>
        <bgColor rgb="FFFFFFFF"/>
      </patternFill>
    </fill>
    <fill>
      <patternFill patternType="solid">
        <fgColor rgb="FF2F5F8F"/>
        <bgColor rgb="FF2E5395"/>
      </patternFill>
    </fill>
    <fill>
      <patternFill patternType="solid">
        <fgColor rgb="FF3B6E8F"/>
        <bgColor rgb="FF2F5F8F"/>
      </patternFill>
    </fill>
    <fill>
      <patternFill patternType="solid">
        <fgColor rgb="FF1F6F5C"/>
        <bgColor rgb="FF2E7D57"/>
      </patternFill>
    </fill>
    <fill>
      <patternFill patternType="solid">
        <fgColor rgb="FF7A5C1F"/>
        <bgColor rgb="FF8C5A2B"/>
      </patternFill>
    </fill>
    <fill>
      <patternFill patternType="solid">
        <fgColor rgb="FF8C5A2B"/>
        <bgColor rgb="FF7A5C1F"/>
      </patternFill>
    </fill>
    <fill>
      <patternFill patternType="solid">
        <fgColor rgb="FF6B2D5C"/>
        <bgColor rgb="FF660066"/>
      </patternFill>
    </fill>
    <fill>
      <patternFill patternType="solid">
        <fgColor rgb="FF595959"/>
        <bgColor rgb="FF7A5C1F"/>
      </patternFill>
    </fill>
    <fill>
      <patternFill patternType="solid">
        <fgColor theme="4" tint="-0.249977111117893"/>
        <bgColor rgb="FF3B6E8F"/>
      </patternFill>
    </fill>
    <fill>
      <patternFill patternType="solid">
        <fgColor theme="0" tint="-0.249977111117893"/>
        <bgColor rgb="FFB7B7B7"/>
      </patternFill>
    </fill>
    <fill>
      <patternFill patternType="solid">
        <fgColor rgb="FFFFFFCC"/>
        <bgColor rgb="FFFFF9E6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FFF9E6"/>
        <bgColor rgb="FFFFFFF3"/>
      </patternFill>
    </fill>
    <fill>
      <patternFill patternType="solid">
        <fgColor theme="9" tint="0.39979247413556324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9" tint="0.79998168889431442"/>
        <bgColor rgb="FFFFFFF3"/>
      </patternFill>
    </fill>
    <fill>
      <patternFill patternType="solid">
        <fgColor theme="9" tint="0.79998168889431442"/>
        <bgColor rgb="FFF5F8FC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1">
    <xf numFmtId="0" fontId="0" fillId="0" borderId="0" xfId="0"/>
    <xf numFmtId="0" fontId="4" fillId="4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left" vertical="center" indent="1"/>
    </xf>
    <xf numFmtId="0" fontId="10" fillId="7" borderId="0" xfId="0" applyFont="1" applyFill="1" applyBorder="1" applyAlignment="1" applyProtection="1">
      <alignment horizontal="left" vertical="center" indent="1"/>
    </xf>
    <xf numFmtId="0" fontId="4" fillId="4" borderId="1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left" vertical="center" indent="1"/>
    </xf>
    <xf numFmtId="0" fontId="0" fillId="6" borderId="0" xfId="0" applyFill="1" applyBorder="1" applyAlignment="1" applyProtection="1"/>
    <xf numFmtId="0" fontId="5" fillId="0" borderId="0" xfId="0" applyFont="1" applyBorder="1" applyAlignment="1" applyProtection="1">
      <alignment horizontal="center" vertical="center"/>
    </xf>
    <xf numFmtId="0" fontId="7" fillId="6" borderId="1" xfId="0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/>
    </xf>
    <xf numFmtId="0" fontId="5" fillId="5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horizontal="center" vertical="center" wrapText="1"/>
    </xf>
    <xf numFmtId="0" fontId="3" fillId="3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4" fillId="4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left" vertical="center" indent="1"/>
    </xf>
    <xf numFmtId="164" fontId="9" fillId="6" borderId="1" xfId="0" applyNumberFormat="1" applyFont="1" applyFill="1" applyBorder="1" applyAlignment="1" applyProtection="1">
      <alignment horizontal="center" vertical="center"/>
    </xf>
    <xf numFmtId="165" fontId="9" fillId="6" borderId="1" xfId="0" applyNumberFormat="1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left" vertical="center" indent="1"/>
    </xf>
    <xf numFmtId="164" fontId="9" fillId="5" borderId="1" xfId="0" applyNumberFormat="1" applyFont="1" applyFill="1" applyBorder="1" applyAlignment="1" applyProtection="1">
      <alignment horizontal="center" vertical="center"/>
    </xf>
    <xf numFmtId="165" fontId="9" fillId="5" borderId="1" xfId="0" applyNumberFormat="1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 applyProtection="1">
      <alignment horizontal="center" vertical="center" wrapText="1"/>
    </xf>
    <xf numFmtId="0" fontId="18" fillId="6" borderId="3" xfId="0" applyFont="1" applyFill="1" applyBorder="1" applyAlignment="1" applyProtection="1">
      <alignment horizontal="left" vertical="center" wrapText="1"/>
    </xf>
    <xf numFmtId="164" fontId="19" fillId="6" borderId="3" xfId="0" applyNumberFormat="1" applyFont="1" applyFill="1" applyBorder="1" applyAlignment="1" applyProtection="1">
      <alignment horizontal="center" vertical="center" wrapText="1"/>
    </xf>
    <xf numFmtId="165" fontId="19" fillId="6" borderId="3" xfId="0" applyNumberFormat="1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left" vertical="center" wrapText="1"/>
    </xf>
    <xf numFmtId="166" fontId="19" fillId="6" borderId="3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Alignment="1" applyProtection="1"/>
    <xf numFmtId="0" fontId="18" fillId="9" borderId="3" xfId="0" applyFont="1" applyFill="1" applyBorder="1" applyAlignment="1" applyProtection="1">
      <alignment horizontal="left" vertical="center" wrapText="1"/>
    </xf>
    <xf numFmtId="164" fontId="19" fillId="9" borderId="3" xfId="0" applyNumberFormat="1" applyFont="1" applyFill="1" applyBorder="1" applyAlignment="1" applyProtection="1">
      <alignment horizontal="center" vertical="center" wrapText="1"/>
    </xf>
    <xf numFmtId="165" fontId="19" fillId="9" borderId="3" xfId="0" applyNumberFormat="1" applyFont="1" applyFill="1" applyBorder="1" applyAlignment="1" applyProtection="1">
      <alignment horizontal="center" vertical="center" wrapText="1"/>
    </xf>
    <xf numFmtId="0" fontId="19" fillId="6" borderId="3" xfId="0" applyFont="1" applyFill="1" applyBorder="1" applyAlignment="1" applyProtection="1">
      <alignment horizontal="center" vertical="center" wrapText="1"/>
    </xf>
    <xf numFmtId="0" fontId="19" fillId="9" borderId="3" xfId="0" applyFont="1" applyFill="1" applyBorder="1" applyAlignment="1" applyProtection="1">
      <alignment horizontal="center" vertical="center" wrapText="1"/>
    </xf>
    <xf numFmtId="0" fontId="24" fillId="0" borderId="0" xfId="0" applyFont="1" applyAlignment="1" applyProtection="1"/>
    <xf numFmtId="0" fontId="30" fillId="3" borderId="1" xfId="0" applyFont="1" applyFill="1" applyBorder="1" applyAlignment="1" applyProtection="1">
      <alignment horizontal="center" vertical="center"/>
    </xf>
    <xf numFmtId="0" fontId="30" fillId="6" borderId="1" xfId="0" applyFont="1" applyFill="1" applyBorder="1" applyAlignment="1" applyProtection="1">
      <alignment horizontal="left" vertical="center" indent="1"/>
    </xf>
    <xf numFmtId="167" fontId="31" fillId="22" borderId="1" xfId="0" applyNumberFormat="1" applyFont="1" applyFill="1" applyBorder="1" applyAlignment="1" applyProtection="1">
      <alignment horizontal="center" vertical="center"/>
    </xf>
    <xf numFmtId="164" fontId="32" fillId="6" borderId="1" xfId="0" applyNumberFormat="1" applyFont="1" applyFill="1" applyBorder="1" applyAlignment="1" applyProtection="1">
      <alignment horizontal="center" vertical="center"/>
    </xf>
    <xf numFmtId="165" fontId="31" fillId="22" borderId="1" xfId="0" applyNumberFormat="1" applyFont="1" applyFill="1" applyBorder="1" applyAlignment="1" applyProtection="1">
      <alignment horizontal="center" vertical="center"/>
    </xf>
    <xf numFmtId="168" fontId="31" fillId="22" borderId="1" xfId="0" applyNumberFormat="1" applyFont="1" applyFill="1" applyBorder="1" applyAlignment="1" applyProtection="1">
      <alignment horizontal="center" vertical="center"/>
    </xf>
    <xf numFmtId="10" fontId="31" fillId="22" borderId="1" xfId="0" applyNumberFormat="1" applyFont="1" applyFill="1" applyBorder="1" applyAlignment="1" applyProtection="1">
      <alignment horizontal="center" vertical="center"/>
    </xf>
    <xf numFmtId="10" fontId="33" fillId="20" borderId="1" xfId="0" applyNumberFormat="1" applyFont="1" applyFill="1" applyBorder="1" applyAlignment="1" applyProtection="1">
      <alignment horizontal="center" vertical="center"/>
    </xf>
    <xf numFmtId="165" fontId="33" fillId="20" borderId="1" xfId="0" applyNumberFormat="1" applyFont="1" applyFill="1" applyBorder="1" applyAlignment="1" applyProtection="1">
      <alignment horizontal="center" vertical="center"/>
    </xf>
    <xf numFmtId="0" fontId="30" fillId="5" borderId="1" xfId="0" applyFont="1" applyFill="1" applyBorder="1" applyAlignment="1" applyProtection="1">
      <alignment horizontal="left" vertical="center" indent="1"/>
    </xf>
    <xf numFmtId="164" fontId="32" fillId="5" borderId="1" xfId="0" applyNumberFormat="1" applyFont="1" applyFill="1" applyBorder="1" applyAlignment="1" applyProtection="1">
      <alignment horizontal="center" vertical="center"/>
    </xf>
    <xf numFmtId="167" fontId="35" fillId="24" borderId="1" xfId="0" applyNumberFormat="1" applyFont="1" applyFill="1" applyBorder="1" applyAlignment="1" applyProtection="1">
      <alignment horizontal="center" vertical="center"/>
    </xf>
    <xf numFmtId="165" fontId="35" fillId="24" borderId="1" xfId="0" applyNumberFormat="1" applyFont="1" applyFill="1" applyBorder="1" applyAlignment="1" applyProtection="1">
      <alignment horizontal="center" vertical="center"/>
    </xf>
    <xf numFmtId="168" fontId="35" fillId="24" borderId="1" xfId="0" applyNumberFormat="1" applyFont="1" applyFill="1" applyBorder="1" applyAlignment="1" applyProtection="1">
      <alignment horizontal="center" vertical="center"/>
    </xf>
    <xf numFmtId="10" fontId="35" fillId="24" borderId="1" xfId="0" applyNumberFormat="1" applyFont="1" applyFill="1" applyBorder="1" applyAlignment="1" applyProtection="1">
      <alignment horizontal="center" vertical="center"/>
    </xf>
    <xf numFmtId="2" fontId="33" fillId="20" borderId="1" xfId="0" applyNumberFormat="1" applyFont="1" applyFill="1" applyBorder="1" applyAlignment="1" applyProtection="1">
      <alignment horizontal="center" vertical="center"/>
    </xf>
    <xf numFmtId="2" fontId="36" fillId="0" borderId="0" xfId="0" applyNumberFormat="1" applyFont="1" applyAlignment="1" applyProtection="1"/>
    <xf numFmtId="2" fontId="0" fillId="25" borderId="0" xfId="0" applyNumberFormat="1" applyFill="1" applyAlignment="1" applyProtection="1"/>
    <xf numFmtId="2" fontId="37" fillId="22" borderId="0" xfId="0" applyNumberFormat="1" applyFont="1" applyFill="1" applyAlignment="1" applyProtection="1"/>
    <xf numFmtId="168" fontId="0" fillId="0" borderId="0" xfId="0" applyNumberFormat="1" applyAlignment="1" applyProtection="1"/>
    <xf numFmtId="10" fontId="0" fillId="25" borderId="0" xfId="0" applyNumberFormat="1" applyFill="1" applyAlignment="1" applyProtection="1"/>
    <xf numFmtId="0" fontId="39" fillId="6" borderId="0" xfId="0" applyFont="1" applyFill="1" applyAlignment="1" applyProtection="1"/>
    <xf numFmtId="167" fontId="40" fillId="22" borderId="3" xfId="0" applyNumberFormat="1" applyFont="1" applyFill="1" applyBorder="1" applyAlignment="1" applyProtection="1">
      <alignment horizontal="center" vertical="center" wrapText="1"/>
    </xf>
    <xf numFmtId="10" fontId="18" fillId="6" borderId="3" xfId="0" applyNumberFormat="1" applyFont="1" applyFill="1" applyBorder="1" applyAlignment="1" applyProtection="1">
      <alignment horizontal="center" vertical="center" wrapText="1"/>
    </xf>
    <xf numFmtId="165" fontId="40" fillId="22" borderId="3" xfId="0" applyNumberFormat="1" applyFont="1" applyFill="1" applyBorder="1" applyAlignment="1" applyProtection="1">
      <alignment horizontal="center" vertical="center" wrapText="1"/>
    </xf>
    <xf numFmtId="10" fontId="40" fillId="22" borderId="3" xfId="0" applyNumberFormat="1" applyFont="1" applyFill="1" applyBorder="1" applyAlignment="1" applyProtection="1">
      <alignment horizontal="center" vertical="center" wrapText="1"/>
    </xf>
    <xf numFmtId="0" fontId="9" fillId="6" borderId="2" xfId="0" applyFont="1" applyFill="1" applyBorder="1" applyAlignment="1" applyProtection="1">
      <alignment horizontal="left" vertical="center" indent="1"/>
    </xf>
    <xf numFmtId="164" fontId="9" fillId="6" borderId="2" xfId="0" applyNumberFormat="1" applyFont="1" applyFill="1" applyBorder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left" vertical="center" indent="1"/>
    </xf>
    <xf numFmtId="164" fontId="9" fillId="5" borderId="2" xfId="0" applyNumberFormat="1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 applyProtection="1">
      <alignment horizontal="left" vertical="center" wrapText="1"/>
    </xf>
    <xf numFmtId="0" fontId="12" fillId="3" borderId="0" xfId="0" applyFont="1" applyFill="1" applyBorder="1" applyAlignment="1" applyProtection="1">
      <alignment horizontal="left" vertical="center" wrapText="1"/>
    </xf>
    <xf numFmtId="0" fontId="13" fillId="4" borderId="0" xfId="0" applyFont="1" applyFill="1" applyBorder="1" applyAlignment="1" applyProtection="1">
      <alignment horizontal="center" vertical="center" wrapText="1"/>
    </xf>
    <xf numFmtId="0" fontId="14" fillId="5" borderId="0" xfId="0" applyFont="1" applyFill="1" applyBorder="1" applyAlignment="1" applyProtection="1">
      <alignment horizontal="center" vertical="center" wrapText="1"/>
    </xf>
    <xf numFmtId="0" fontId="15" fillId="6" borderId="3" xfId="0" applyFont="1" applyFill="1" applyBorder="1" applyAlignment="1" applyProtection="1">
      <alignment horizontal="center" vertical="center" wrapText="1"/>
    </xf>
    <xf numFmtId="0" fontId="16" fillId="6" borderId="3" xfId="0" applyFont="1" applyFill="1" applyBorder="1" applyAlignment="1" applyProtection="1">
      <alignment horizontal="center" vertical="center" wrapText="1"/>
    </xf>
    <xf numFmtId="0" fontId="17" fillId="2" borderId="0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 wrapText="1"/>
    </xf>
    <xf numFmtId="0" fontId="13" fillId="4" borderId="4" xfId="0" applyFont="1" applyFill="1" applyBorder="1" applyAlignment="1" applyProtection="1">
      <alignment horizontal="center" vertical="center" wrapText="1"/>
    </xf>
    <xf numFmtId="0" fontId="19" fillId="6" borderId="4" xfId="0" applyFont="1" applyFill="1" applyBorder="1" applyAlignment="1" applyProtection="1">
      <alignment horizontal="center" vertical="center" wrapText="1"/>
    </xf>
    <xf numFmtId="164" fontId="19" fillId="6" borderId="4" xfId="0" applyNumberFormat="1" applyFont="1" applyFill="1" applyBorder="1" applyAlignment="1" applyProtection="1">
      <alignment horizontal="center" vertical="center" wrapText="1"/>
    </xf>
    <xf numFmtId="0" fontId="19" fillId="9" borderId="4" xfId="0" applyFont="1" applyFill="1" applyBorder="1" applyAlignment="1" applyProtection="1">
      <alignment horizontal="center" vertical="center" wrapText="1"/>
    </xf>
    <xf numFmtId="164" fontId="19" fillId="9" borderId="4" xfId="0" applyNumberFormat="1" applyFont="1" applyFill="1" applyBorder="1" applyAlignment="1" applyProtection="1">
      <alignment horizontal="center" vertical="center" wrapText="1"/>
    </xf>
    <xf numFmtId="0" fontId="22" fillId="10" borderId="0" xfId="0" applyFont="1" applyFill="1" applyBorder="1" applyAlignment="1" applyProtection="1">
      <alignment horizontal="center"/>
    </xf>
    <xf numFmtId="0" fontId="23" fillId="2" borderId="0" xfId="0" applyFont="1" applyFill="1" applyBorder="1" applyAlignment="1" applyProtection="1">
      <alignment horizontal="center" vertical="center"/>
    </xf>
    <xf numFmtId="0" fontId="25" fillId="11" borderId="2" xfId="0" applyFont="1" applyFill="1" applyBorder="1" applyAlignment="1" applyProtection="1">
      <alignment horizontal="center" vertical="center"/>
    </xf>
    <xf numFmtId="0" fontId="26" fillId="12" borderId="0" xfId="0" applyFont="1" applyFill="1" applyBorder="1" applyAlignment="1" applyProtection="1">
      <alignment horizontal="left" vertical="center"/>
    </xf>
    <xf numFmtId="0" fontId="27" fillId="2" borderId="5" xfId="0" applyFont="1" applyFill="1" applyBorder="1" applyAlignment="1" applyProtection="1">
      <alignment horizontal="center" vertical="center" wrapText="1"/>
    </xf>
    <xf numFmtId="0" fontId="27" fillId="4" borderId="5" xfId="0" applyFont="1" applyFill="1" applyBorder="1" applyAlignment="1" applyProtection="1">
      <alignment horizontal="center" vertical="center" wrapText="1"/>
    </xf>
    <xf numFmtId="0" fontId="27" fillId="13" borderId="5" xfId="0" applyFont="1" applyFill="1" applyBorder="1" applyAlignment="1" applyProtection="1">
      <alignment horizontal="center" vertical="center" wrapText="1"/>
    </xf>
    <xf numFmtId="0" fontId="27" fillId="14" borderId="5" xfId="0" applyFont="1" applyFill="1" applyBorder="1" applyAlignment="1" applyProtection="1">
      <alignment horizontal="center" vertical="center" wrapText="1"/>
    </xf>
    <xf numFmtId="0" fontId="27" fillId="15" borderId="5" xfId="0" applyFont="1" applyFill="1" applyBorder="1" applyAlignment="1" applyProtection="1">
      <alignment horizontal="center" vertical="center" wrapText="1"/>
    </xf>
    <xf numFmtId="0" fontId="27" fillId="7" borderId="5" xfId="0" applyFont="1" applyFill="1" applyBorder="1" applyAlignment="1" applyProtection="1">
      <alignment horizontal="center" vertical="center" wrapText="1"/>
    </xf>
    <xf numFmtId="0" fontId="27" fillId="16" borderId="5" xfId="0" applyFont="1" applyFill="1" applyBorder="1" applyAlignment="1" applyProtection="1">
      <alignment horizontal="center" vertical="center" wrapText="1"/>
    </xf>
    <xf numFmtId="0" fontId="27" fillId="17" borderId="5" xfId="0" applyFont="1" applyFill="1" applyBorder="1" applyAlignment="1" applyProtection="1">
      <alignment horizontal="center" vertical="center" wrapText="1"/>
    </xf>
    <xf numFmtId="0" fontId="27" fillId="18" borderId="5" xfId="0" applyFont="1" applyFill="1" applyBorder="1" applyAlignment="1" applyProtection="1">
      <alignment horizontal="center" vertical="center" wrapText="1"/>
    </xf>
    <xf numFmtId="0" fontId="27" fillId="19" borderId="5" xfId="0" applyFont="1" applyFill="1" applyBorder="1" applyAlignment="1" applyProtection="1">
      <alignment horizontal="center" vertical="center" wrapText="1"/>
    </xf>
    <xf numFmtId="0" fontId="28" fillId="20" borderId="5" xfId="0" applyFont="1" applyFill="1" applyBorder="1" applyAlignment="1" applyProtection="1">
      <alignment horizontal="center" vertical="center" wrapText="1"/>
    </xf>
    <xf numFmtId="0" fontId="29" fillId="21" borderId="6" xfId="0" applyFont="1" applyFill="1" applyBorder="1" applyAlignment="1" applyProtection="1">
      <alignment horizontal="center"/>
    </xf>
    <xf numFmtId="165" fontId="34" fillId="23" borderId="1" xfId="0" applyNumberFormat="1" applyFont="1" applyFill="1" applyBorder="1" applyAlignment="1" applyProtection="1">
      <alignment horizontal="center" vertical="center"/>
    </xf>
    <xf numFmtId="0" fontId="38" fillId="2" borderId="0" xfId="0" applyFont="1" applyFill="1" applyBorder="1" applyAlignment="1" applyProtection="1">
      <alignment horizontal="left" vertical="center" wrapText="1"/>
    </xf>
    <xf numFmtId="0" fontId="40" fillId="22" borderId="3" xfId="0" applyFont="1" applyFill="1" applyBorder="1" applyAlignment="1" applyProtection="1">
      <alignment horizontal="center" vertical="center" wrapText="1"/>
    </xf>
    <xf numFmtId="0" fontId="41" fillId="12" borderId="0" xfId="0" applyFont="1" applyFill="1" applyBorder="1" applyAlignment="1" applyProtection="1">
      <alignment horizontal="left" vertical="center" wrapText="1"/>
    </xf>
    <xf numFmtId="0" fontId="21" fillId="2" borderId="3" xfId="0" applyFont="1" applyFill="1" applyBorder="1" applyAlignment="1" applyProtection="1">
      <alignment horizontal="center" vertical="center" wrapText="1"/>
    </xf>
    <xf numFmtId="165" fontId="0" fillId="26" borderId="0" xfId="0" applyNumberFormat="1" applyFill="1" applyAlignment="1" applyProtection="1"/>
    <xf numFmtId="0" fontId="18" fillId="27" borderId="3" xfId="0" applyFont="1" applyFill="1" applyBorder="1" applyAlignment="1" applyProtection="1">
      <alignment horizontal="left" vertical="center" wrapText="1"/>
    </xf>
    <xf numFmtId="167" fontId="18" fillId="27" borderId="3" xfId="0" applyNumberFormat="1" applyFont="1" applyFill="1" applyBorder="1" applyAlignment="1" applyProtection="1">
      <alignment horizontal="center" vertical="center" wrapText="1"/>
    </xf>
    <xf numFmtId="165" fontId="18" fillId="27" borderId="3" xfId="0" applyNumberFormat="1" applyFont="1" applyFill="1" applyBorder="1" applyAlignment="1" applyProtection="1">
      <alignment horizontal="center" vertical="center" wrapText="1"/>
    </xf>
    <xf numFmtId="10" fontId="1" fillId="0" borderId="1" xfId="1" applyNumberFormat="1" applyBorder="1" applyAlignment="1" applyProtection="1">
      <alignment horizontal="center" vertical="center"/>
    </xf>
    <xf numFmtId="164" fontId="32" fillId="28" borderId="1" xfId="0" applyNumberFormat="1" applyFont="1" applyFill="1" applyBorder="1" applyAlignment="1" applyProtection="1">
      <alignment horizontal="center" vertical="center"/>
    </xf>
    <xf numFmtId="164" fontId="32" fillId="29" borderId="1" xfId="0" applyNumberFormat="1" applyFont="1" applyFill="1" applyBorder="1" applyAlignment="1" applyProtection="1">
      <alignment horizontal="center" vertical="center"/>
    </xf>
    <xf numFmtId="10" fontId="1" fillId="30" borderId="1" xfId="1" applyNumberFormat="1" applyFill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5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6500"/>
        <name val="Tahoma"/>
      </font>
      <fill>
        <patternFill>
          <bgColor rgb="FFFFEB9C"/>
        </patternFill>
      </fill>
    </dxf>
    <dxf>
      <font>
        <b/>
        <color rgb="FF006100"/>
        <name val="Tahoma"/>
      </font>
      <fill>
        <patternFill>
          <bgColor rgb="FFC6EFCE"/>
        </patternFill>
      </fill>
    </dxf>
    <dxf>
      <font>
        <b/>
        <color rgb="FF9C6500"/>
        <name val="Tahoma"/>
      </font>
      <fill>
        <patternFill>
          <bgColor rgb="FFFFEB9C"/>
        </patternFill>
      </fill>
    </dxf>
    <dxf>
      <font>
        <b/>
        <color rgb="FF006100"/>
        <name val="Tahoma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  <name val="Tahoma"/>
      </font>
      <fill>
        <patternFill>
          <bgColor rgb="FFC6EFCE"/>
        </patternFill>
      </fill>
    </dxf>
    <dxf>
      <font>
        <color rgb="FF9C0006"/>
        <name val="Tahoma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  <name val="Tahoma"/>
      </font>
      <fill>
        <patternFill>
          <bgColor rgb="FFC6EFCE"/>
        </patternFill>
      </fill>
    </dxf>
    <dxf>
      <font>
        <color rgb="FF9C0006"/>
        <name val="Tahoma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  <name val="Tahoma"/>
      </font>
      <fill>
        <patternFill>
          <bgColor rgb="FFC6EFCE"/>
        </patternFill>
      </fill>
    </dxf>
    <dxf>
      <font>
        <color rgb="FF9C0006"/>
        <name val="Tahoma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  <name val="Tahoma"/>
      </font>
      <fill>
        <patternFill>
          <bgColor rgb="FFC6EFCE"/>
        </patternFill>
      </fill>
    </dxf>
    <dxf>
      <font>
        <color rgb="FF9C0006"/>
        <name val="Tahoma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1F6F5C"/>
      <rgbColor rgb="FFBFBFBF"/>
      <rgbColor rgb="FF808080"/>
      <rgbColor rgb="FFB7B7B7"/>
      <rgbColor rgb="FF6B2D5C"/>
      <rgbColor rgb="FFFFFFCC"/>
      <rgbColor rgb="FFF5F8FC"/>
      <rgbColor rgb="FF660066"/>
      <rgbColor rgb="FFFFFFF3"/>
      <rgbColor rgb="FF2F5F8F"/>
      <rgbColor rgb="FFD9D9D9"/>
      <rgbColor rgb="FF000080"/>
      <rgbColor rgb="FFFF00FF"/>
      <rgbColor rgb="FFFFF2CC"/>
      <rgbColor rgb="FF00FFFF"/>
      <rgbColor rgb="FF800080"/>
      <rgbColor rgb="FF800000"/>
      <rgbColor rgb="FF3B6E8F"/>
      <rgbColor rgb="FF0000FF"/>
      <rgbColor rgb="FF00CCFF"/>
      <rgbColor rgb="FFF2F2F2"/>
      <rgbColor rgb="FFC6EFCE"/>
      <rgbColor rgb="FFFFEB9C"/>
      <rgbColor rgb="FF9DC3E6"/>
      <rgbColor rgb="FFD9E2F3"/>
      <rgbColor rgb="FFB3B3B3"/>
      <rgbColor rgb="FFFFC7CE"/>
      <rgbColor rgb="FF2E75B6"/>
      <rgbColor rgb="FF33CCCC"/>
      <rgbColor rgb="FFA9D18E"/>
      <rgbColor rgb="FFFFF9E6"/>
      <rgbColor rgb="FFFF9900"/>
      <rgbColor rgb="FF9C6500"/>
      <rgbColor rgb="FF595959"/>
      <rgbColor rgb="FF9E9E9E"/>
      <rgbColor rgb="FF002060"/>
      <rgbColor rgb="FF2E7D57"/>
      <rgbColor rgb="FF003300"/>
      <rgbColor rgb="FF7A5C1F"/>
      <rgbColor rgb="FFA5342A"/>
      <rgbColor rgb="FF8C5A2B"/>
      <rgbColor rgb="FF2E5395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h-TH" sz="1800" b="1" strike="noStrike" spc="-1">
                <a:solidFill>
                  <a:srgbClr val="000000"/>
                </a:solidFill>
                <a:latin typeface="Calibri"/>
              </a:rPr>
              <a:t>ยอดขายรายสาขา 2025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2026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Aug!$B$110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Aug!$A$111:$A$125</c:f>
              <c:numCache>
                <c:formatCode>General</c:formatCode>
                <c:ptCount val="11"/>
              </c:numCache>
            </c:numRef>
          </c:cat>
          <c:val>
            <c:numRef>
              <c:f>Aug!$B$111:$B$125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E4E2-4DEB-8564-2E09F0C390C5}"/>
            </c:ext>
          </c:extLst>
        </c:ser>
        <c:ser>
          <c:idx val="1"/>
          <c:order val="1"/>
          <c:tx>
            <c:strRef>
              <c:f>Aug!$C$110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Aug!$A$111:$A$125</c:f>
              <c:numCache>
                <c:formatCode>General</c:formatCode>
                <c:ptCount val="11"/>
              </c:numCache>
            </c:numRef>
          </c:cat>
          <c:val>
            <c:numRef>
              <c:f>Aug!$C$111:$C$125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E4E2-4DEB-8564-2E09F0C39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34007"/>
        <c:axId val="50855140"/>
      </c:barChart>
      <c:catAx>
        <c:axId val="62334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55140"/>
        <c:crosses val="autoZero"/>
        <c:auto val="1"/>
        <c:lblAlgn val="ctr"/>
        <c:lblOffset val="100"/>
        <c:noMultiLvlLbl val="0"/>
      </c:catAx>
      <c:valAx>
        <c:axId val="50855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h-TH" sz="1000" b="1" strike="noStrike" spc="-1">
                    <a:solidFill>
                      <a:srgbClr val="000000"/>
                    </a:solidFill>
                    <a:latin typeface="Calibri"/>
                  </a:rPr>
                  <a:t>ยอดขาย (฿)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340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7</xdr:col>
      <xdr:colOff>176231</xdr:colOff>
      <xdr:row>62</xdr:row>
      <xdr:rowOff>2379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9"/>
  <sheetViews>
    <sheetView showGridLines="0" tabSelected="1" topLeftCell="A120" zoomScale="69" zoomScaleNormal="70" workbookViewId="0">
      <selection activeCell="F111" sqref="F111"/>
    </sheetView>
  </sheetViews>
  <sheetFormatPr defaultColWidth="8.6640625" defaultRowHeight="14.25"/>
  <cols>
    <col min="1" max="1" width="27.33203125" style="15" customWidth="1"/>
    <col min="2" max="3" width="14" style="15" customWidth="1"/>
    <col min="4" max="4" width="12" style="15" customWidth="1"/>
    <col min="5" max="5" width="14" style="15" customWidth="1"/>
    <col min="6" max="6" width="27.86328125" style="15" customWidth="1"/>
    <col min="7" max="7" width="10.86328125" style="15" customWidth="1"/>
    <col min="8" max="8" width="14" style="15" customWidth="1"/>
    <col min="9" max="11" width="13" style="15" customWidth="1"/>
    <col min="12" max="13" width="14" style="15" customWidth="1"/>
    <col min="14" max="14" width="20.6640625" style="15" customWidth="1"/>
    <col min="15" max="18" width="13" style="15" customWidth="1"/>
    <col min="20" max="23" width="13" style="15" customWidth="1"/>
    <col min="24" max="24" width="11.1328125" bestFit="1" customWidth="1"/>
  </cols>
  <sheetData>
    <row r="1" spans="1:18" ht="33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8" ht="19.5" customHeight="1">
      <c r="A2" s="13" t="str">
        <f>"เดือน (Month): "&amp;IF(Aug!B107="","(ยังไม่ระบุ)",Aug!B107)&amp;"   |   จำนวนสาขาที่รายงาน: "&amp;COUNTIF(Aug!A111:A125,"?*")&amp;" สาขา"</f>
        <v>เดือน (Month): (ยังไม่ระบุ)   |   จำนวนสาขาที่รายงาน: 0 สาขา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8" ht="25.5" customHeight="1">
      <c r="A4" s="12" t="s">
        <v>1</v>
      </c>
      <c r="B4" s="12"/>
      <c r="D4" s="12" t="s">
        <v>2</v>
      </c>
      <c r="E4" s="12"/>
      <c r="G4" s="12" t="s">
        <v>3</v>
      </c>
      <c r="H4" s="12"/>
      <c r="J4" s="12" t="s">
        <v>4</v>
      </c>
      <c r="K4" s="12"/>
    </row>
    <row r="5" spans="1:18" ht="15" customHeight="1">
      <c r="A5" s="11" t="str">
        <f>"2025: "&amp;TEXT(SUM(Aug!B111:B125),"#,##0")&amp;"   2026: "&amp;TEXT(SUM(Aug!C111:C125),"#,##0")</f>
        <v>2025: 0   2026: 0</v>
      </c>
      <c r="B5" s="11"/>
      <c r="D5" s="11" t="str">
        <f>"2025: "&amp;TEXT(SUM(Aug!E111:E125),"#,##0")&amp;"   2026: "&amp;TEXT(SUM(Aug!F111:F125),"#,##0")</f>
        <v>2025: 0   2026: 0</v>
      </c>
      <c r="E5" s="11"/>
      <c r="G5" s="11" t="str">
        <f>"2025: "&amp;TEXT(SUM(Aug!T111:T125),"#,##0")&amp;"   2026: "&amp;TEXT(SUM(Aug!U111:U125),"#,##0")</f>
        <v>2025: 0   2026: 0</v>
      </c>
      <c r="H5" s="11"/>
      <c r="J5" s="11" t="str">
        <f>"2025: "&amp;TEXT(SUM(Aug!W111:W125),"#,##0")&amp;"   2026: "&amp;TEXT(SUM(Aug!X111:X125),"#,##0")</f>
        <v>2025: 0   2026: 0</v>
      </c>
      <c r="K5" s="11"/>
    </row>
    <row r="6" spans="1:18" ht="24" customHeight="1">
      <c r="A6" s="10" t="str">
        <f>IFERROR(TEXT((SUM(Aug!C111:C125)-SUM(Aug!B111:B125))/SUM(Aug!B111:B125),"+0.0%;-0.0%")&amp;" YoY","-")</f>
        <v>-</v>
      </c>
      <c r="B6" s="10"/>
      <c r="D6" s="10" t="str">
        <f>IFERROR(TEXT((SUM(Aug!F111:F125)-SUM(Aug!E111:E125))/SUM(Aug!E111:E125),"+0.0%;-0.0%")&amp;" YoY","-")</f>
        <v>-</v>
      </c>
      <c r="E6" s="10"/>
      <c r="G6" s="10" t="str">
        <f>IFERROR(TEXT((SUM(Aug!U111:U125)-SUM(Aug!T111:T125))/SUM(Aug!T111:T125),"+0.0%;-0.0%")&amp;" YoY","-")</f>
        <v>-</v>
      </c>
      <c r="H6" s="10"/>
      <c r="J6" s="10" t="str">
        <f>IFERROR(TEXT((SUM(Aug!X111:X125)-SUM(Aug!W111:W125))/SUM(Aug!W111:W125),"+0.0%;-0.0%")&amp;" YoY","-")</f>
        <v>-</v>
      </c>
      <c r="K6" s="10"/>
    </row>
    <row r="8" spans="1:18" ht="25.5" customHeight="1">
      <c r="A8" s="12" t="s">
        <v>5</v>
      </c>
      <c r="B8" s="12"/>
      <c r="D8" s="12" t="s">
        <v>6</v>
      </c>
      <c r="E8" s="12"/>
      <c r="J8" s="9"/>
      <c r="K8" s="9"/>
    </row>
    <row r="9" spans="1:18" ht="27.75" customHeight="1">
      <c r="A9" s="8" t="str">
        <f>TEXT(SUM(Aug!AE111:AE125),"#,##0")</f>
        <v>0</v>
      </c>
      <c r="B9" s="8"/>
      <c r="D9" s="8" t="str">
        <f>TEXT(SUM(Aug!AC111:AC125),"#,##0")</f>
        <v>0</v>
      </c>
      <c r="E9" s="8"/>
      <c r="J9" s="7"/>
      <c r="K9" s="7"/>
    </row>
    <row r="10" spans="1:18" ht="15" customHeight="1">
      <c r="A10" s="6"/>
      <c r="B10" s="6"/>
      <c r="D10" s="6"/>
      <c r="E10" s="6"/>
    </row>
    <row r="12" spans="1:18" ht="24" customHeight="1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8" ht="27.75" customHeight="1">
      <c r="A13" s="16" t="s">
        <v>8</v>
      </c>
      <c r="B13" s="16" t="s">
        <v>9</v>
      </c>
      <c r="C13" s="16" t="s">
        <v>10</v>
      </c>
      <c r="D13" s="16" t="s">
        <v>11</v>
      </c>
      <c r="E13" s="16" t="s">
        <v>12</v>
      </c>
      <c r="F13" s="4" t="s">
        <v>13</v>
      </c>
      <c r="G13" s="4"/>
      <c r="O13" s="15" t="s">
        <v>14</v>
      </c>
      <c r="P13" s="15" t="s">
        <v>15</v>
      </c>
      <c r="Q13" s="15" t="s">
        <v>16</v>
      </c>
      <c r="R13" s="15" t="s">
        <v>17</v>
      </c>
    </row>
    <row r="14" spans="1:18" ht="15.75" customHeight="1">
      <c r="A14" s="17" t="str">
        <f>IF(Aug!A111="","",Aug!A111)</f>
        <v/>
      </c>
      <c r="B14" s="18" t="str">
        <f>IF(Aug!A111="","",Aug!D111)</f>
        <v/>
      </c>
      <c r="C14" s="18" t="str">
        <f>IF(Aug!A111="","",Aug!G111)</f>
        <v/>
      </c>
      <c r="D14" s="18" t="str">
        <f>IF(Aug!A111="","",Aug!AB111)</f>
        <v/>
      </c>
      <c r="E14" s="19" t="str">
        <f>IF(Aug!A111="","",Aug!AE111)</f>
        <v/>
      </c>
      <c r="F14" s="17" t="str">
        <f t="shared" ref="F14:F36" si="0">IF(A14="","",IF((IF(B14&lt;0,"ยอดขายลด, ","")&amp;IF(C14&lt;0,"กำไรลด, ","")&amp;IF(D14&gt;0,"ต้นทุนแรงงาน/ยอดขายเพิ่ม, ","")&amp;IF(E14&gt;=3,"ร้องเรียนเยอะ, ",""))="","ปกติ / ดี",IF(RIGHT(IF(B14&lt;0,"ยอดขายลด, ","")&amp;IF(C14&lt;0,"กำไรลด, ","")&amp;IF(D14&gt;0,"ต้นทุนแรงงาน/ยอดขายเพิ่ม, ","")&amp;IF(E14&gt;=3,"ร้องเรียนเยอะ, ",""),2)=", ",LEFT(IF(B14&lt;0,"ยอดขายลด, ","")&amp;IF(C14&lt;0,"กำไรลด, ","")&amp;IF(D14&gt;0,"ต้นทุนแรงงาน/ยอดขายเพิ่ม, ","")&amp;IF(E14&gt;=3,"ร้องเรียนเยอะ, ",""),LEN(IF(B14&lt;0,"ยอดขายลด, ","")&amp;IF(C14&lt;0,"กำไรลด, ","")&amp;IF(D14&gt;0,"ต้นทุนแรงงาน/ยอดขายเพิ่ม, ","")&amp;IF(E14&gt;=3,"ร้องเรียนเยอะ, ",""))-2),IF(B14&lt;0,"ยอดขายลด, ","")&amp;IF(C14&lt;0,"กำไรลด, ","")&amp;IF(D14&gt;0,"ต้นทุนแรงงาน/ยอดขายเพิ่ม, ","")&amp;IF(E14&gt;=3,"ร้องเรียนเยอะ, ",""))))</f>
        <v/>
      </c>
      <c r="O14" s="15" t="str">
        <f t="shared" ref="O14:O36" si="1">IF(A14="","",(B14&lt;0)*1+(C14&lt;0)*1+(D14&gt;0)*1+(E14&gt;=3)*1)</f>
        <v/>
      </c>
      <c r="P14" s="15" t="str">
        <f t="shared" ref="P14:P36" si="2">IF(A14="","",O14-IFERROR(B14/1000,0))</f>
        <v/>
      </c>
      <c r="Q14" s="15" t="str">
        <f>IF(A14="","",IFERROR(RANK(P14,$P$14:$P$36)+COUNTIF($P$14:P14,P14)-1,""))</f>
        <v/>
      </c>
      <c r="R14" s="15" t="str">
        <f>IF(A14="","",IFERROR(RANK(B14,$B$14:$B$36)+COUNTIF($B$14:B14,B14)-1,""))</f>
        <v/>
      </c>
    </row>
    <row r="15" spans="1:18" ht="15.75" customHeight="1">
      <c r="A15" s="20" t="str">
        <f>IF(Aug!A112="","",Aug!A112)</f>
        <v/>
      </c>
      <c r="B15" s="21" t="str">
        <f>IF(Aug!A112="","",Aug!D112)</f>
        <v/>
      </c>
      <c r="C15" s="21" t="str">
        <f>IF(Aug!A112="","",Aug!G112)</f>
        <v/>
      </c>
      <c r="D15" s="21" t="str">
        <f>IF(Aug!A112="","",Aug!AB112)</f>
        <v/>
      </c>
      <c r="E15" s="22" t="str">
        <f>IF(Aug!A112="","",Aug!AE112)</f>
        <v/>
      </c>
      <c r="F15" s="20" t="str">
        <f t="shared" si="0"/>
        <v/>
      </c>
      <c r="O15" s="15" t="str">
        <f t="shared" si="1"/>
        <v/>
      </c>
      <c r="P15" s="15" t="str">
        <f t="shared" si="2"/>
        <v/>
      </c>
      <c r="Q15" s="15" t="str">
        <f>IF(A15="","",IFERROR(RANK(P15,$P$14:$P$36)+COUNTIF($P$14:P15,P15)-1,""))</f>
        <v/>
      </c>
      <c r="R15" s="15" t="str">
        <f>IF(A15="","",IFERROR(RANK(B15,$B$14:$B$36)+COUNTIF($B$14:B15,B15)-1,""))</f>
        <v/>
      </c>
    </row>
    <row r="16" spans="1:18" ht="15.75" customHeight="1">
      <c r="A16" s="17" t="str">
        <f>IF(Aug!A113="","",Aug!A113)</f>
        <v/>
      </c>
      <c r="B16" s="18" t="str">
        <f>IF(Aug!A113="","",Aug!D113)</f>
        <v/>
      </c>
      <c r="C16" s="18" t="str">
        <f>IF(Aug!A113="","",Aug!G113)</f>
        <v/>
      </c>
      <c r="D16" s="18" t="str">
        <f>IF(Aug!A113="","",Aug!AB113)</f>
        <v/>
      </c>
      <c r="E16" s="19" t="str">
        <f>IF(Aug!A113="","",Aug!AE113)</f>
        <v/>
      </c>
      <c r="F16" s="17" t="str">
        <f t="shared" si="0"/>
        <v/>
      </c>
      <c r="O16" s="15" t="str">
        <f t="shared" si="1"/>
        <v/>
      </c>
      <c r="P16" s="15" t="str">
        <f t="shared" si="2"/>
        <v/>
      </c>
      <c r="Q16" s="15" t="str">
        <f>IF(A16="","",IFERROR(RANK(P16,$P$14:$P$36)+COUNTIF($P$14:P16,P16)-1,""))</f>
        <v/>
      </c>
      <c r="R16" s="15" t="str">
        <f>IF(A16="","",IFERROR(RANK(B16,$B$14:$B$36)+COUNTIF($B$14:B16,B16)-1,""))</f>
        <v/>
      </c>
    </row>
    <row r="17" spans="1:18" ht="15.75" customHeight="1">
      <c r="A17" s="20" t="str">
        <f>IF(Aug!A114="","",Aug!A114)</f>
        <v/>
      </c>
      <c r="B17" s="21" t="str">
        <f>IF(Aug!A114="","",Aug!D114)</f>
        <v/>
      </c>
      <c r="C17" s="21" t="str">
        <f>IF(Aug!A114="","",Aug!G114)</f>
        <v/>
      </c>
      <c r="D17" s="21" t="str">
        <f>IF(Aug!A114="","",Aug!AB114)</f>
        <v/>
      </c>
      <c r="E17" s="22" t="str">
        <f>IF(Aug!A114="","",Aug!AE114)</f>
        <v/>
      </c>
      <c r="F17" s="20" t="str">
        <f t="shared" si="0"/>
        <v/>
      </c>
      <c r="O17" s="15" t="str">
        <f t="shared" si="1"/>
        <v/>
      </c>
      <c r="P17" s="15" t="str">
        <f t="shared" si="2"/>
        <v/>
      </c>
      <c r="Q17" s="15" t="str">
        <f>IF(A17="","",IFERROR(RANK(P17,$P$14:$P$36)+COUNTIF($P$14:P17,P17)-1,""))</f>
        <v/>
      </c>
      <c r="R17" s="15" t="str">
        <f>IF(A17="","",IFERROR(RANK(B17,$B$14:$B$36)+COUNTIF($B$14:B17,B17)-1,""))</f>
        <v/>
      </c>
    </row>
    <row r="18" spans="1:18" ht="15.75" customHeight="1">
      <c r="A18" s="17" t="str">
        <f>IF(Aug!A115="","",Aug!A115)</f>
        <v/>
      </c>
      <c r="B18" s="18" t="str">
        <f>IF(Aug!A115="","",Aug!D115)</f>
        <v/>
      </c>
      <c r="C18" s="18" t="str">
        <f>IF(Aug!A115="","",Aug!G115)</f>
        <v/>
      </c>
      <c r="D18" s="18" t="str">
        <f>IF(Aug!A115="","",Aug!AB115)</f>
        <v/>
      </c>
      <c r="E18" s="19" t="str">
        <f>IF(Aug!A115="","",Aug!AE115)</f>
        <v/>
      </c>
      <c r="F18" s="17" t="str">
        <f t="shared" si="0"/>
        <v/>
      </c>
      <c r="O18" s="15" t="str">
        <f t="shared" si="1"/>
        <v/>
      </c>
      <c r="P18" s="15" t="str">
        <f t="shared" si="2"/>
        <v/>
      </c>
      <c r="Q18" s="15" t="str">
        <f>IF(A18="","",IFERROR(RANK(P18,$P$14:$P$36)+COUNTIF($P$14:P18,P18)-1,""))</f>
        <v/>
      </c>
      <c r="R18" s="15" t="str">
        <f>IF(A18="","",IFERROR(RANK(B18,$B$14:$B$36)+COUNTIF($B$14:B18,B18)-1,""))</f>
        <v/>
      </c>
    </row>
    <row r="19" spans="1:18" ht="15.75" customHeight="1">
      <c r="A19" s="20" t="str">
        <f>IF(Aug!A116="","",Aug!A116)</f>
        <v/>
      </c>
      <c r="B19" s="21" t="str">
        <f>IF(Aug!A116="","",Aug!D116)</f>
        <v/>
      </c>
      <c r="C19" s="21" t="str">
        <f>IF(Aug!A116="","",Aug!G116)</f>
        <v/>
      </c>
      <c r="D19" s="21" t="str">
        <f>IF(Aug!A116="","",Aug!AB116)</f>
        <v/>
      </c>
      <c r="E19" s="22" t="str">
        <f>IF(Aug!A116="","",Aug!AE116)</f>
        <v/>
      </c>
      <c r="F19" s="20" t="str">
        <f t="shared" si="0"/>
        <v/>
      </c>
      <c r="O19" s="15" t="str">
        <f t="shared" si="1"/>
        <v/>
      </c>
      <c r="P19" s="15" t="str">
        <f t="shared" si="2"/>
        <v/>
      </c>
      <c r="Q19" s="15" t="str">
        <f>IF(A19="","",IFERROR(RANK(P19,$P$14:$P$36)+COUNTIF($P$14:P19,P19)-1,""))</f>
        <v/>
      </c>
      <c r="R19" s="15" t="str">
        <f>IF(A19="","",IFERROR(RANK(B19,$B$14:$B$36)+COUNTIF($B$14:B19,B19)-1,""))</f>
        <v/>
      </c>
    </row>
    <row r="20" spans="1:18" ht="15.75" customHeight="1">
      <c r="A20" s="17" t="str">
        <f>IF(Aug!A117="","",Aug!A117)</f>
        <v/>
      </c>
      <c r="B20" s="18" t="str">
        <f>IF(Aug!A117="","",Aug!D117)</f>
        <v/>
      </c>
      <c r="C20" s="18" t="str">
        <f>IF(Aug!A117="","",Aug!G117)</f>
        <v/>
      </c>
      <c r="D20" s="18" t="str">
        <f>IF(Aug!A117="","",Aug!AB117)</f>
        <v/>
      </c>
      <c r="E20" s="19" t="str">
        <f>IF(Aug!A117="","",Aug!AE117)</f>
        <v/>
      </c>
      <c r="F20" s="17" t="str">
        <f t="shared" si="0"/>
        <v/>
      </c>
      <c r="O20" s="15" t="str">
        <f t="shared" si="1"/>
        <v/>
      </c>
      <c r="P20" s="15" t="str">
        <f t="shared" si="2"/>
        <v/>
      </c>
      <c r="Q20" s="15" t="str">
        <f>IF(A20="","",IFERROR(RANK(P20,$P$14:$P$36)+COUNTIF($P$14:P20,P20)-1,""))</f>
        <v/>
      </c>
      <c r="R20" s="15" t="str">
        <f>IF(A20="","",IFERROR(RANK(B20,$B$14:$B$36)+COUNTIF($B$14:B20,B20)-1,""))</f>
        <v/>
      </c>
    </row>
    <row r="21" spans="1:18" ht="15.75" customHeight="1">
      <c r="A21" s="20" t="str">
        <f>IF(Aug!A118="","",Aug!A118)</f>
        <v/>
      </c>
      <c r="B21" s="21" t="str">
        <f>IF(Aug!A118="","",Aug!D118)</f>
        <v/>
      </c>
      <c r="C21" s="21" t="str">
        <f>IF(Aug!A118="","",Aug!G118)</f>
        <v/>
      </c>
      <c r="D21" s="21" t="str">
        <f>IF(Aug!A118="","",Aug!AB118)</f>
        <v/>
      </c>
      <c r="E21" s="22" t="str">
        <f>IF(Aug!A118="","",Aug!AE118)</f>
        <v/>
      </c>
      <c r="F21" s="20" t="str">
        <f t="shared" si="0"/>
        <v/>
      </c>
      <c r="O21" s="15" t="str">
        <f t="shared" si="1"/>
        <v/>
      </c>
      <c r="P21" s="15" t="str">
        <f t="shared" si="2"/>
        <v/>
      </c>
      <c r="Q21" s="15" t="str">
        <f>IF(A21="","",IFERROR(RANK(P21,$P$14:$P$36)+COUNTIF($P$14:P21,P21)-1,""))</f>
        <v/>
      </c>
      <c r="R21" s="15" t="str">
        <f>IF(A21="","",IFERROR(RANK(B21,$B$14:$B$36)+COUNTIF($B$14:B21,B21)-1,""))</f>
        <v/>
      </c>
    </row>
    <row r="22" spans="1:18" ht="15.75" customHeight="1">
      <c r="A22" s="17" t="str">
        <f>IF(Aug!A119="","",Aug!A119)</f>
        <v/>
      </c>
      <c r="B22" s="18" t="str">
        <f>IF(Aug!A119="","",Aug!D119)</f>
        <v/>
      </c>
      <c r="C22" s="18" t="str">
        <f>IF(Aug!A119="","",Aug!G119)</f>
        <v/>
      </c>
      <c r="D22" s="18" t="str">
        <f>IF(Aug!A119="","",Aug!AB119)</f>
        <v/>
      </c>
      <c r="E22" s="19" t="str">
        <f>IF(Aug!A119="","",Aug!AE119)</f>
        <v/>
      </c>
      <c r="F22" s="17" t="str">
        <f t="shared" si="0"/>
        <v/>
      </c>
      <c r="O22" s="15" t="str">
        <f t="shared" si="1"/>
        <v/>
      </c>
      <c r="P22" s="15" t="str">
        <f t="shared" si="2"/>
        <v/>
      </c>
      <c r="Q22" s="15" t="str">
        <f>IF(A22="","",IFERROR(RANK(P22,$P$14:$P$36)+COUNTIF($P$14:P22,P22)-1,""))</f>
        <v/>
      </c>
      <c r="R22" s="15" t="str">
        <f>IF(A22="","",IFERROR(RANK(B22,$B$14:$B$36)+COUNTIF($B$14:B22,B22)-1,""))</f>
        <v/>
      </c>
    </row>
    <row r="23" spans="1:18" ht="15.75" customHeight="1">
      <c r="A23" s="20" t="str">
        <f>IF(Aug!A120="","",Aug!A120)</f>
        <v/>
      </c>
      <c r="B23" s="21" t="str">
        <f>IF(Aug!A120="","",Aug!D120)</f>
        <v/>
      </c>
      <c r="C23" s="21" t="str">
        <f>IF(Aug!A120="","",Aug!G120)</f>
        <v/>
      </c>
      <c r="D23" s="21" t="str">
        <f>IF(Aug!A120="","",Aug!AB120)</f>
        <v/>
      </c>
      <c r="E23" s="22" t="str">
        <f>IF(Aug!A120="","",Aug!AE120)</f>
        <v/>
      </c>
      <c r="F23" s="20" t="str">
        <f t="shared" si="0"/>
        <v/>
      </c>
      <c r="O23" s="15" t="str">
        <f t="shared" si="1"/>
        <v/>
      </c>
      <c r="P23" s="15" t="str">
        <f t="shared" si="2"/>
        <v/>
      </c>
      <c r="Q23" s="15" t="str">
        <f>IF(A23="","",IFERROR(RANK(P23,$P$14:$P$36)+COUNTIF($P$14:P23,P23)-1,""))</f>
        <v/>
      </c>
      <c r="R23" s="15" t="str">
        <f>IF(A23="","",IFERROR(RANK(B23,$B$14:$B$36)+COUNTIF($B$14:B23,B23)-1,""))</f>
        <v/>
      </c>
    </row>
    <row r="24" spans="1:18" ht="15.75" customHeight="1">
      <c r="A24" s="17" t="str">
        <f>IF(Aug!A121="","",Aug!A121)</f>
        <v/>
      </c>
      <c r="B24" s="18" t="str">
        <f>IF(Aug!A121="","",Aug!D121)</f>
        <v/>
      </c>
      <c r="C24" s="18" t="str">
        <f>IF(Aug!A121="","",Aug!G121)</f>
        <v/>
      </c>
      <c r="D24" s="18" t="str">
        <f>IF(Aug!A121="","",Aug!AB121)</f>
        <v/>
      </c>
      <c r="E24" s="19" t="str">
        <f>IF(Aug!A121="","",Aug!AE121)</f>
        <v/>
      </c>
      <c r="F24" s="17" t="str">
        <f t="shared" si="0"/>
        <v/>
      </c>
      <c r="O24" s="15" t="str">
        <f t="shared" si="1"/>
        <v/>
      </c>
      <c r="P24" s="15" t="str">
        <f t="shared" si="2"/>
        <v/>
      </c>
      <c r="Q24" s="15" t="str">
        <f>IF(A24="","",IFERROR(RANK(P24,$P$14:$P$36)+COUNTIF($P$14:P24,P24)-1,""))</f>
        <v/>
      </c>
      <c r="R24" s="15" t="str">
        <f>IF(A24="","",IFERROR(RANK(B24,$B$14:$B$36)+COUNTIF($B$14:B24,B24)-1,""))</f>
        <v/>
      </c>
    </row>
    <row r="25" spans="1:18" ht="15.75" customHeight="1">
      <c r="A25" s="20" t="str">
        <f>IF(Aug!A122="","",Aug!A122)</f>
        <v/>
      </c>
      <c r="B25" s="21" t="str">
        <f>IF(Aug!A122="","",Aug!D122)</f>
        <v/>
      </c>
      <c r="C25" s="21" t="str">
        <f>IF(Aug!A122="","",Aug!G122)</f>
        <v/>
      </c>
      <c r="D25" s="21" t="str">
        <f>IF(Aug!A122="","",Aug!AB122)</f>
        <v/>
      </c>
      <c r="E25" s="22" t="str">
        <f>IF(Aug!A122="","",Aug!AE122)</f>
        <v/>
      </c>
      <c r="F25" s="20" t="str">
        <f t="shared" si="0"/>
        <v/>
      </c>
      <c r="O25" s="15" t="str">
        <f t="shared" si="1"/>
        <v/>
      </c>
      <c r="P25" s="15" t="str">
        <f t="shared" si="2"/>
        <v/>
      </c>
      <c r="Q25" s="15" t="str">
        <f>IF(A25="","",IFERROR(RANK(P25,$P$14:$P$36)+COUNTIF($P$14:P25,P25)-1,""))</f>
        <v/>
      </c>
      <c r="R25" s="15" t="str">
        <f>IF(A25="","",IFERROR(RANK(B25,$B$14:$B$36)+COUNTIF($B$14:B25,B25)-1,""))</f>
        <v/>
      </c>
    </row>
    <row r="26" spans="1:18" ht="15.75" customHeight="1">
      <c r="A26" s="17" t="str">
        <f>IF(Aug!A123="","",Aug!A123)</f>
        <v/>
      </c>
      <c r="B26" s="18" t="str">
        <f>IF(Aug!A123="","",Aug!D123)</f>
        <v/>
      </c>
      <c r="C26" s="18" t="str">
        <f>IF(Aug!A123="","",Aug!G123)</f>
        <v/>
      </c>
      <c r="D26" s="18" t="str">
        <f>IF(Aug!A123="","",Aug!AB123)</f>
        <v/>
      </c>
      <c r="E26" s="19" t="str">
        <f>IF(Aug!A123="","",Aug!AE123)</f>
        <v/>
      </c>
      <c r="F26" s="17" t="str">
        <f t="shared" si="0"/>
        <v/>
      </c>
      <c r="O26" s="15" t="str">
        <f t="shared" si="1"/>
        <v/>
      </c>
      <c r="P26" s="15" t="str">
        <f t="shared" si="2"/>
        <v/>
      </c>
      <c r="Q26" s="15" t="str">
        <f>IF(A26="","",IFERROR(RANK(P26,$P$14:$P$36)+COUNTIF($P$14:P26,P26)-1,""))</f>
        <v/>
      </c>
      <c r="R26" s="15" t="str">
        <f>IF(A26="","",IFERROR(RANK(B26,$B$14:$B$36)+COUNTIF($B$14:B26,B26)-1,""))</f>
        <v/>
      </c>
    </row>
    <row r="27" spans="1:18" ht="15.75" hidden="1" customHeight="1">
      <c r="A27" s="20" t="str">
        <f>IF(Aug!A124="","",Aug!A124)</f>
        <v/>
      </c>
      <c r="B27" s="21" t="str">
        <f>IF(Aug!A124="","",Aug!D124)</f>
        <v/>
      </c>
      <c r="C27" s="21" t="str">
        <f>IF(Aug!A124="","",Aug!G124)</f>
        <v/>
      </c>
      <c r="D27" s="21" t="str">
        <f>IF(Aug!A124="","",Aug!AB124)</f>
        <v/>
      </c>
      <c r="E27" s="22" t="str">
        <f>IF(Aug!A124="","",Aug!AE124)</f>
        <v/>
      </c>
      <c r="F27" s="20" t="str">
        <f t="shared" si="0"/>
        <v/>
      </c>
      <c r="O27" s="15" t="str">
        <f t="shared" si="1"/>
        <v/>
      </c>
      <c r="P27" s="15" t="str">
        <f t="shared" si="2"/>
        <v/>
      </c>
      <c r="Q27" s="15" t="str">
        <f>IF(A27="","",IFERROR(RANK(P27,$P$14:$P$36)+COUNTIF($P$14:P27,P27)-1,""))</f>
        <v/>
      </c>
      <c r="R27" s="15" t="str">
        <f>IF(A27="","",IFERROR(RANK(B27,$B$14:$B$36)+COUNTIF($B$14:B27,B27)-1,""))</f>
        <v/>
      </c>
    </row>
    <row r="28" spans="1:18" ht="15.75" hidden="1" customHeight="1">
      <c r="A28" s="17" t="str">
        <f>IF(Aug!A125="","",Aug!A125)</f>
        <v/>
      </c>
      <c r="B28" s="18" t="str">
        <f>IF(Aug!A125="","",Aug!D125)</f>
        <v/>
      </c>
      <c r="C28" s="18" t="str">
        <f>IF(Aug!A125="","",Aug!G125)</f>
        <v/>
      </c>
      <c r="D28" s="18" t="str">
        <f>IF(Aug!A125="","",Aug!AB125)</f>
        <v/>
      </c>
      <c r="E28" s="19" t="str">
        <f>IF(Aug!A125="","",Aug!AE125)</f>
        <v/>
      </c>
      <c r="F28" s="17" t="str">
        <f t="shared" si="0"/>
        <v/>
      </c>
      <c r="O28" s="15" t="str">
        <f t="shared" si="1"/>
        <v/>
      </c>
      <c r="P28" s="15" t="str">
        <f t="shared" si="2"/>
        <v/>
      </c>
      <c r="Q28" s="15" t="str">
        <f>IF(A28="","",IFERROR(RANK(P28,$P$14:$P$36)+COUNTIF($P$14:P28,P28)-1,""))</f>
        <v/>
      </c>
      <c r="R28" s="15" t="str">
        <f>IF(A28="","",IFERROR(RANK(B28,$B$14:$B$36)+COUNTIF($B$14:B28,B28)-1,""))</f>
        <v/>
      </c>
    </row>
    <row r="29" spans="1:18" ht="15.75" hidden="1" customHeight="1">
      <c r="A29" s="20"/>
      <c r="B29" s="21"/>
      <c r="C29" s="21"/>
      <c r="D29" s="21"/>
      <c r="E29" s="22"/>
      <c r="F29" s="20" t="str">
        <f t="shared" si="0"/>
        <v/>
      </c>
      <c r="O29" s="15" t="str">
        <f t="shared" si="1"/>
        <v/>
      </c>
      <c r="P29" s="15" t="str">
        <f t="shared" si="2"/>
        <v/>
      </c>
      <c r="Q29" s="15" t="str">
        <f>IF(A29="","",IFERROR(RANK(P29,$P$14:$P$36)+COUNTIF($P$14:P29,P29)-1,""))</f>
        <v/>
      </c>
      <c r="R29" s="15" t="str">
        <f>IF(A29="","",IFERROR(RANK(B29,$B$14:$B$36)+COUNTIF($B$14:B29,B29)-1,""))</f>
        <v/>
      </c>
    </row>
    <row r="30" spans="1:18" ht="15.75" hidden="1" customHeight="1">
      <c r="A30" s="17"/>
      <c r="B30" s="18"/>
      <c r="C30" s="18"/>
      <c r="D30" s="18"/>
      <c r="E30" s="19"/>
      <c r="F30" s="17" t="str">
        <f t="shared" si="0"/>
        <v/>
      </c>
      <c r="O30" s="15" t="str">
        <f t="shared" si="1"/>
        <v/>
      </c>
      <c r="P30" s="15" t="str">
        <f t="shared" si="2"/>
        <v/>
      </c>
      <c r="Q30" s="15" t="str">
        <f>IF(A30="","",IFERROR(RANK(P30,$P$14:$P$36)+COUNTIF($P$14:P30,P30)-1,""))</f>
        <v/>
      </c>
      <c r="R30" s="15" t="str">
        <f>IF(A30="","",IFERROR(RANK(B30,$B$14:$B$36)+COUNTIF($B$14:B30,B30)-1,""))</f>
        <v/>
      </c>
    </row>
    <row r="31" spans="1:18" ht="15.75" hidden="1" customHeight="1">
      <c r="A31" s="20"/>
      <c r="B31" s="21"/>
      <c r="C31" s="21"/>
      <c r="D31" s="21"/>
      <c r="E31" s="22"/>
      <c r="F31" s="20" t="str">
        <f t="shared" si="0"/>
        <v/>
      </c>
      <c r="O31" s="15" t="str">
        <f t="shared" si="1"/>
        <v/>
      </c>
      <c r="P31" s="15" t="str">
        <f t="shared" si="2"/>
        <v/>
      </c>
      <c r="Q31" s="15" t="str">
        <f>IF(A31="","",IFERROR(RANK(P31,$P$14:$P$36)+COUNTIF($P$14:P31,P31)-1,""))</f>
        <v/>
      </c>
      <c r="R31" s="15" t="str">
        <f>IF(A31="","",IFERROR(RANK(B31,$B$14:$B$36)+COUNTIF($B$14:B31,B31)-1,""))</f>
        <v/>
      </c>
    </row>
    <row r="32" spans="1:18" ht="15.75" hidden="1" customHeight="1">
      <c r="A32" s="17"/>
      <c r="B32" s="18"/>
      <c r="C32" s="18"/>
      <c r="D32" s="18"/>
      <c r="E32" s="19"/>
      <c r="F32" s="17" t="str">
        <f t="shared" si="0"/>
        <v/>
      </c>
      <c r="O32" s="15" t="str">
        <f t="shared" si="1"/>
        <v/>
      </c>
      <c r="P32" s="15" t="str">
        <f t="shared" si="2"/>
        <v/>
      </c>
      <c r="Q32" s="15" t="str">
        <f>IF(A32="","",IFERROR(RANK(P32,$P$14:$P$36)+COUNTIF($P$14:P32,P32)-1,""))</f>
        <v/>
      </c>
      <c r="R32" s="15" t="str">
        <f>IF(A32="","",IFERROR(RANK(B32,$B$14:$B$36)+COUNTIF($B$14:B32,B32)-1,""))</f>
        <v/>
      </c>
    </row>
    <row r="33" spans="1:18" ht="15.75" hidden="1" customHeight="1">
      <c r="A33" s="20"/>
      <c r="B33" s="21"/>
      <c r="C33" s="21"/>
      <c r="D33" s="21"/>
      <c r="E33" s="22"/>
      <c r="F33" s="20" t="str">
        <f t="shared" si="0"/>
        <v/>
      </c>
      <c r="O33" s="15" t="str">
        <f t="shared" si="1"/>
        <v/>
      </c>
      <c r="P33" s="15" t="str">
        <f t="shared" si="2"/>
        <v/>
      </c>
      <c r="Q33" s="15" t="str">
        <f>IF(A33="","",IFERROR(RANK(P33,$P$14:$P$36)+COUNTIF($P$14:P33,P33)-1,""))</f>
        <v/>
      </c>
      <c r="R33" s="15" t="str">
        <f>IF(A33="","",IFERROR(RANK(B33,$B$14:$B$36)+COUNTIF($B$14:B33,B33)-1,""))</f>
        <v/>
      </c>
    </row>
    <row r="34" spans="1:18" ht="15.75" hidden="1" customHeight="1">
      <c r="A34" s="17"/>
      <c r="B34" s="18"/>
      <c r="C34" s="18"/>
      <c r="D34" s="18"/>
      <c r="E34" s="19"/>
      <c r="F34" s="17" t="str">
        <f t="shared" si="0"/>
        <v/>
      </c>
      <c r="O34" s="15" t="str">
        <f t="shared" si="1"/>
        <v/>
      </c>
      <c r="P34" s="15" t="str">
        <f t="shared" si="2"/>
        <v/>
      </c>
      <c r="Q34" s="15" t="str">
        <f>IF(A34="","",IFERROR(RANK(P34,$P$14:$P$36)+COUNTIF($P$14:P34,P34)-1,""))</f>
        <v/>
      </c>
      <c r="R34" s="15" t="str">
        <f>IF(A34="","",IFERROR(RANK(B34,$B$14:$B$36)+COUNTIF($B$14:B34,B34)-1,""))</f>
        <v/>
      </c>
    </row>
    <row r="35" spans="1:18" ht="15.75" hidden="1" customHeight="1">
      <c r="A35" s="20"/>
      <c r="B35" s="21"/>
      <c r="C35" s="21"/>
      <c r="D35" s="21"/>
      <c r="E35" s="22"/>
      <c r="F35" s="20" t="str">
        <f t="shared" si="0"/>
        <v/>
      </c>
      <c r="O35" s="15" t="str">
        <f t="shared" si="1"/>
        <v/>
      </c>
      <c r="P35" s="15" t="str">
        <f t="shared" si="2"/>
        <v/>
      </c>
      <c r="Q35" s="15" t="str">
        <f>IF(A35="","",IFERROR(RANK(P35,$P$14:$P$36)+COUNTIF($P$14:P35,P35)-1,""))</f>
        <v/>
      </c>
      <c r="R35" s="15" t="str">
        <f>IF(A35="","",IFERROR(RANK(B35,$B$14:$B$36)+COUNTIF($B$14:B35,B35)-1,""))</f>
        <v/>
      </c>
    </row>
    <row r="36" spans="1:18" ht="15.75" hidden="1" customHeight="1">
      <c r="A36" s="17"/>
      <c r="B36" s="18"/>
      <c r="C36" s="18"/>
      <c r="D36" s="18"/>
      <c r="E36" s="19"/>
      <c r="F36" s="17" t="str">
        <f t="shared" si="0"/>
        <v/>
      </c>
      <c r="O36" s="15" t="str">
        <f t="shared" si="1"/>
        <v/>
      </c>
      <c r="P36" s="15" t="str">
        <f t="shared" si="2"/>
        <v/>
      </c>
      <c r="Q36" s="15" t="str">
        <f>IF(A36="","",IFERROR(RANK(P36,$P$14:$P$36)+COUNTIF($P$14:P36,P36)-1,""))</f>
        <v/>
      </c>
      <c r="R36" s="15" t="str">
        <f>IF(A36="","",IFERROR(RANK(B36,$B$14:$B$36)+COUNTIF($B$14:B36,B36)-1,""))</f>
        <v/>
      </c>
    </row>
    <row r="38" spans="1:18" ht="21.75" customHeight="1">
      <c r="A38" s="3" t="s">
        <v>18</v>
      </c>
      <c r="B38" s="3"/>
      <c r="C38" s="3"/>
      <c r="D38" s="3"/>
      <c r="E38" s="3"/>
      <c r="F38" s="3"/>
      <c r="H38" s="2" t="s">
        <v>19</v>
      </c>
      <c r="I38" s="2"/>
      <c r="J38" s="2"/>
      <c r="K38" s="2"/>
      <c r="L38" s="2"/>
      <c r="M38" s="2"/>
      <c r="N38" s="2"/>
    </row>
    <row r="39" spans="1:18" ht="18" customHeight="1">
      <c r="A39" s="23" t="s">
        <v>20</v>
      </c>
      <c r="B39" s="1" t="s">
        <v>21</v>
      </c>
      <c r="C39" s="1"/>
      <c r="D39" s="1"/>
      <c r="E39" s="1" t="s">
        <v>9</v>
      </c>
      <c r="F39" s="1"/>
      <c r="H39" s="23" t="s">
        <v>20</v>
      </c>
      <c r="I39" s="1" t="s">
        <v>21</v>
      </c>
      <c r="J39" s="1"/>
      <c r="K39" s="1" t="s">
        <v>22</v>
      </c>
      <c r="L39" s="1"/>
      <c r="M39" s="1"/>
      <c r="N39" s="1"/>
    </row>
    <row r="40" spans="1:18" ht="15.75" customHeight="1">
      <c r="A40" s="24">
        <v>1</v>
      </c>
      <c r="B40" s="65" t="str">
        <f>IFERROR(INDEX($A$14:$A$36,MATCH(1,$R$14:$R$36,0)),"-")</f>
        <v>-</v>
      </c>
      <c r="C40" s="65"/>
      <c r="D40" s="65"/>
      <c r="E40" s="66" t="str">
        <f>IFERROR(INDEX($B$14:$B$36,MATCH(1,$R$14:$R$36,0)),"")</f>
        <v/>
      </c>
      <c r="F40" s="66"/>
      <c r="H40" s="24">
        <v>1</v>
      </c>
      <c r="I40" s="65" t="str">
        <f>IFERROR(INDEX($A$14:$A$36,MATCH(1,$Q$14:$Q$36,0)),"-")</f>
        <v>-</v>
      </c>
      <c r="J40" s="65"/>
      <c r="K40" s="65" t="str">
        <f>IFERROR(INDEX($F$14:$F$36,MATCH(1,$Q$14:$Q$36,0)),"")</f>
        <v/>
      </c>
      <c r="L40" s="65"/>
      <c r="M40" s="65"/>
      <c r="N40" s="65"/>
    </row>
    <row r="41" spans="1:18" ht="15.75" customHeight="1">
      <c r="A41" s="25">
        <v>2</v>
      </c>
      <c r="B41" s="67" t="str">
        <f>IFERROR(INDEX($A$14:$A$36,MATCH(2,$R$14:$R$36,0)),"-")</f>
        <v>-</v>
      </c>
      <c r="C41" s="67"/>
      <c r="D41" s="67"/>
      <c r="E41" s="68" t="str">
        <f>IFERROR(INDEX($B$14:$B$36,MATCH(2,$R$14:$R$36,0)),"")</f>
        <v/>
      </c>
      <c r="F41" s="68"/>
      <c r="H41" s="25">
        <v>2</v>
      </c>
      <c r="I41" s="67" t="str">
        <f>IFERROR(INDEX($A$14:$A$36,MATCH(2,$Q$14:$Q$36,0)),"-")</f>
        <v>-</v>
      </c>
      <c r="J41" s="67"/>
      <c r="K41" s="67" t="str">
        <f>IFERROR(INDEX($F$14:$F$36,MATCH(2,$Q$14:$Q$36,0)),"")</f>
        <v/>
      </c>
      <c r="L41" s="67"/>
      <c r="M41" s="67"/>
      <c r="N41" s="67"/>
    </row>
    <row r="42" spans="1:18" ht="15.75" customHeight="1">
      <c r="A42" s="24">
        <v>3</v>
      </c>
      <c r="B42" s="65" t="str">
        <f>IFERROR(INDEX($A$14:$A$36,MATCH(3,$R$14:$R$36,0)),"-")</f>
        <v>-</v>
      </c>
      <c r="C42" s="65"/>
      <c r="D42" s="65"/>
      <c r="E42" s="66" t="str">
        <f>IFERROR(INDEX($B$14:$B$36,MATCH(3,$R$14:$R$36,0)),"")</f>
        <v/>
      </c>
      <c r="F42" s="66"/>
      <c r="H42" s="24">
        <v>3</v>
      </c>
      <c r="I42" s="65" t="str">
        <f>IFERROR(INDEX($A$14:$A$36,MATCH(3,$Q$14:$Q$36,0)),"-")</f>
        <v>-</v>
      </c>
      <c r="J42" s="65"/>
      <c r="K42" s="65" t="str">
        <f>IFERROR(INDEX($F$14:$F$36,MATCH(3,$Q$14:$Q$36,0)),"")</f>
        <v/>
      </c>
      <c r="L42" s="65"/>
      <c r="M42" s="65"/>
      <c r="N42" s="65"/>
    </row>
    <row r="43" spans="1:18" ht="15.75" customHeight="1">
      <c r="A43" s="25">
        <v>4</v>
      </c>
      <c r="B43" s="67" t="str">
        <f>IFERROR(INDEX($A$14:$A$36,MATCH(4,$R$14:$R$36,0)),"-")</f>
        <v>-</v>
      </c>
      <c r="C43" s="67"/>
      <c r="D43" s="67"/>
      <c r="E43" s="68" t="str">
        <f>IFERROR(INDEX($B$14:$B$36,MATCH(4,$R$14:$R$36,0)),"")</f>
        <v/>
      </c>
      <c r="F43" s="68"/>
      <c r="H43" s="25">
        <v>4</v>
      </c>
      <c r="I43" s="67" t="str">
        <f>IFERROR(INDEX($A$14:$A$36,MATCH(4,$Q$14:$Q$36,0)),"-")</f>
        <v>-</v>
      </c>
      <c r="J43" s="67"/>
      <c r="K43" s="67" t="str">
        <f>IFERROR(INDEX($F$14:$F$36,MATCH(4,$Q$14:$Q$36,0)),"")</f>
        <v/>
      </c>
      <c r="L43" s="67"/>
      <c r="M43" s="67"/>
      <c r="N43" s="67"/>
    </row>
    <row r="44" spans="1:18" ht="15.75" customHeight="1">
      <c r="A44" s="24">
        <v>5</v>
      </c>
      <c r="B44" s="65" t="str">
        <f>IFERROR(INDEX($A$14:$A$36,MATCH(5,$R$14:$R$36,0)),"-")</f>
        <v>-</v>
      </c>
      <c r="C44" s="65"/>
      <c r="D44" s="65"/>
      <c r="E44" s="66" t="str">
        <f>IFERROR(INDEX($B$14:$B$36,MATCH(5,$R$14:$R$36,0)),"")</f>
        <v/>
      </c>
      <c r="F44" s="66"/>
      <c r="H44" s="24">
        <v>5</v>
      </c>
      <c r="I44" s="65" t="str">
        <f>IFERROR(INDEX($A$14:$A$36,MATCH(5,$Q$14:$Q$36,0)),"-")</f>
        <v>-</v>
      </c>
      <c r="J44" s="65"/>
      <c r="K44" s="65" t="str">
        <f>IFERROR(INDEX($F$14:$F$36,MATCH(5,$Q$14:$Q$36,0)),"")</f>
        <v/>
      </c>
      <c r="L44" s="65"/>
      <c r="M44" s="65"/>
      <c r="N44" s="65"/>
    </row>
    <row r="65" spans="1:22" ht="33.75" customHeight="1">
      <c r="A65" s="69" t="s">
        <v>23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</row>
    <row r="66" spans="1:22" ht="19.5" customHeight="1">
      <c r="A66" s="70" t="str">
        <f>"เดือนก่อนหน้า (Previous Month): "&amp;IF(Aug!B130="","(ยังไม่ระบุ)",Aug!B130)&amp;"   |   เดือนนี้ (Current Month): "&amp;IF(Aug!B107="","(ยังไม่ระบุ)",Aug!B107)</f>
        <v>เดือนก่อนหน้า (Previous Month): (ยังไม่ระบุ)   |   เดือนนี้ (Current Month): (ยังไม่ระบุ)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</row>
    <row r="68" spans="1:22" ht="25.5" customHeight="1">
      <c r="A68" s="71" t="s">
        <v>24</v>
      </c>
      <c r="B68" s="71"/>
      <c r="D68" s="71" t="s">
        <v>25</v>
      </c>
      <c r="E68" s="71"/>
      <c r="G68" s="71" t="s">
        <v>26</v>
      </c>
      <c r="H68" s="71"/>
      <c r="J68" s="71" t="s">
        <v>27</v>
      </c>
      <c r="K68" s="71"/>
    </row>
    <row r="69" spans="1:22" ht="25.5" customHeight="1">
      <c r="A69" s="72" t="str">
        <f>"ก่อน: "&amp;TEXT(SUM(Aug!B134:B148),"#,##0")&amp;"   นี้: "&amp;TEXT(SUM(Aug!C111:C125),"#,##0")</f>
        <v>ก่อน: 0   นี้: 0</v>
      </c>
      <c r="B69" s="72"/>
      <c r="D69" s="72" t="str">
        <f>"ก่อน: "&amp;TEXT(SUM(Aug!C134:C148),"#,##0")&amp;"   นี้: "&amp;TEXT(SUM(Aug!F111:F125),"#,##0")</f>
        <v>ก่อน: 0   นี้: 0</v>
      </c>
      <c r="E69" s="72"/>
      <c r="G69" s="72" t="str">
        <f>"ก่อน: "&amp;TEXT(SUM(Aug!D134:D148),"#,##0")&amp;"   นี้: "&amp;TEXT(SUM(Aug!U111:U125),"#,##0")</f>
        <v>ก่อน: 0   นี้: 0</v>
      </c>
      <c r="H69" s="72"/>
      <c r="J69" s="72" t="str">
        <f>"ก่อน: "&amp;TEXT(SUM(Aug!E134:E148),"#,##0")&amp;"   นี้: "&amp;TEXT(SUM(Aug!X111:X125),"#,##0")</f>
        <v>ก่อน: 0   นี้: 0</v>
      </c>
      <c r="K69" s="72"/>
    </row>
    <row r="70" spans="1:22" ht="24" customHeight="1">
      <c r="A70" s="73" t="str">
        <f>IFERROR(TEXT((SUM(Aug!C111:C125)-SUM(Aug!B134:B148))/SUM(Aug!B134:B148),"+0.0%;-0.0%")&amp;" MoM","-")</f>
        <v>-</v>
      </c>
      <c r="B70" s="73"/>
      <c r="D70" s="73" t="str">
        <f>IFERROR(TEXT((SUM(Aug!F111:F125)-SUM(Aug!C134:C148))/SUM(Aug!C134:C148),"+0.0%;-0.0%")&amp;" MoM","-")</f>
        <v>-</v>
      </c>
      <c r="E70" s="73"/>
      <c r="G70" s="73" t="str">
        <f>IFERROR(TEXT((SUM(Aug!U111:U125)-SUM(Aug!D134:D148))/SUM(Aug!D134:D148),"+0.0%;-0.0%")&amp;" MoM","-")</f>
        <v>-</v>
      </c>
      <c r="H70" s="73"/>
      <c r="J70" s="73" t="str">
        <f>IFERROR(TEXT((SUM(Aug!X111:X125)-SUM(Aug!E134:E148))/SUM(Aug!E134:E148),"+0.0%;-0.0%")&amp;" MoM","-")</f>
        <v>-</v>
      </c>
      <c r="K70" s="73"/>
    </row>
    <row r="72" spans="1:22" ht="25.5" customHeight="1">
      <c r="A72" s="71" t="s">
        <v>28</v>
      </c>
      <c r="B72" s="71"/>
      <c r="D72" s="71" t="s">
        <v>29</v>
      </c>
      <c r="E72" s="71"/>
    </row>
    <row r="73" spans="1:22" ht="30" customHeight="1">
      <c r="A73" s="74" t="str">
        <f>"ก่อน: "&amp;TEXT(SUM(Aug!H134:H148),"#,##0")&amp;"   นี้: "&amp;TEXT(SUM(Aug!AE111:AE125),"#,##0")&amp;"   ("&amp;TEXT(SUM(Aug!AE111:AE125)-SUM(Aug!H134:H148),"+#,##0;-#,##0")&amp;")"</f>
        <v>ก่อน: 0   นี้: 0   (+0)</v>
      </c>
      <c r="B73" s="74"/>
      <c r="D73" s="74" t="str">
        <f>"ก่อน: "&amp;TEXT(SUM(Aug!G134:G148),"#,##0")&amp;"   นี้: "&amp;TEXT(SUM(Aug!AC111:AC125),"#,##0")&amp;"   ("&amp;TEXT(SUM(Aug!AC111:AC125)-SUM(Aug!G134:G148),"+#,##0;-#,##0")&amp;")"</f>
        <v>ก่อน: 0   นี้: 0   (+0)</v>
      </c>
      <c r="E73" s="74"/>
    </row>
    <row r="76" spans="1:22" ht="24" customHeight="1">
      <c r="A76" s="75" t="s">
        <v>30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</row>
    <row r="77" spans="1:22" ht="27.75" customHeight="1">
      <c r="A77" s="26" t="s">
        <v>8</v>
      </c>
      <c r="B77" s="26" t="s">
        <v>31</v>
      </c>
      <c r="C77" s="26" t="s">
        <v>32</v>
      </c>
      <c r="D77" s="26" t="s">
        <v>33</v>
      </c>
      <c r="E77" s="26" t="s">
        <v>34</v>
      </c>
      <c r="F77" s="26" t="s">
        <v>35</v>
      </c>
      <c r="G77" s="16" t="s">
        <v>36</v>
      </c>
      <c r="H77" s="26" t="s">
        <v>37</v>
      </c>
      <c r="I77" s="26" t="s">
        <v>38</v>
      </c>
      <c r="J77" s="26" t="s">
        <v>39</v>
      </c>
      <c r="K77" s="26" t="s">
        <v>40</v>
      </c>
      <c r="L77" s="26" t="s">
        <v>41</v>
      </c>
    </row>
    <row r="78" spans="1:22" ht="30" customHeight="1">
      <c r="A78" s="27" t="str">
        <f>IF(Aug!A111="","",Aug!A111)</f>
        <v/>
      </c>
      <c r="B78" s="28" t="str">
        <f>IF(A78="","",IFERROR((Aug!C111-Aug!B134)/Aug!B134,""))</f>
        <v/>
      </c>
      <c r="C78" s="28" t="str">
        <f>IF(A78="","",IFERROR((Aug!F111-Aug!C134)/ABS(Aug!C134),""))</f>
        <v/>
      </c>
      <c r="D78" s="28" t="str">
        <f>IF(A78="","",IFERROR((Aug!U111-Aug!D134)/Aug!D134,""))</f>
        <v/>
      </c>
      <c r="E78" s="28" t="str">
        <f>IF(A78="","",IFERROR(Aug!AA111-Aug!F134,""))</f>
        <v/>
      </c>
      <c r="F78" s="29" t="str">
        <f>IF(A78="","",Aug!AE111-Aug!H134)</f>
        <v/>
      </c>
      <c r="G78" s="30" t="str">
        <f t="shared" ref="G78:G92" si="3">IF(A78="","",IF((IF(B78&lt;0,"ยอดขายลด, ","")&amp;IF(C78&lt;0,"กำไรลด, ","")&amp;IF(D78&gt;0,"ต้นทุนขายเพิ่ม, ","")&amp;IF(E78&gt;0,"ต้นทุนแรงงาน/ยอดขายเพิ่ม, ","")&amp;IF(F78&gt;0,"ร้องเรียนเพิ่ม, ",""))="","ปกติ / ดี",IF(RIGHT(IF(B78&lt;0,"ยอดขายลด, ","")&amp;IF(C78&lt;0,"กำไรลด, ","")&amp;IF(D78&gt;0,"ต้นทุนขายเพิ่ม, ","")&amp;IF(E78&gt;0,"ต้นทุนแรงงาน/ยอดขายเพิ่ม, ","")&amp;IF(F78&gt;0,"ร้องเรียนเพิ่ม, ",""),2)=", ",LEFT(IF(B78&lt;0,"ยอดขายลด, ","")&amp;IF(C78&lt;0,"กำไรลด, ","")&amp;IF(D78&gt;0,"ต้นทุนขายเพิ่ม, ","")&amp;IF(E78&gt;0,"ต้นทุนแรงงาน/ยอดขายเพิ่ม, ","")&amp;IF(F78&gt;0,"ร้องเรียนเพิ่ม, ",""),LEN(IF(B78&lt;0,"ยอดขายลด, ","")&amp;IF(C78&lt;0,"กำไรลด, ","")&amp;IF(D78&gt;0,"ต้นทุนขายเพิ่ม, ","")&amp;IF(E78&gt;0,"ต้นทุนแรงงาน/ยอดขายเพิ่ม, ","")&amp;IF(F78&gt;0,"ร้องเรียนเพิ่ม, ",""))-2),IF(B78&lt;0,"ยอดขายลด, ","")&amp;IF(C78&lt;0,"กำไรลด, ","")&amp;IF(D78&gt;0,"ต้นทุนขายเพิ่ม, ","")&amp;IF(E78&gt;0,"ต้นทุนแรงงาน/ยอดขายเพิ่ม, ","")&amp;IF(F78&gt;0,"ร้องเรียนเพิ่ม, ",""))))</f>
        <v/>
      </c>
      <c r="H78" s="28" t="str">
        <f>IF(A78="","",IFERROR((Aug!I111-I134)/I134,""))</f>
        <v/>
      </c>
      <c r="I78" s="28" t="str">
        <f>IF(A78="","",IFERROR((Aug!L111-J134)/J134,""))</f>
        <v/>
      </c>
      <c r="J78" s="28" t="str">
        <f>IF(A78="","",IFERROR((Aug!O111-K134)/K134,""))</f>
        <v/>
      </c>
      <c r="K78" s="28" t="str">
        <f>IF(A78="","",IFERROR((Aug!R111-L134)/L134,""))</f>
        <v/>
      </c>
      <c r="L78" s="31" t="str">
        <f>IF(A78="","",IFERROR(Aug!AD111-M134,""))</f>
        <v/>
      </c>
      <c r="S78" s="32" t="str">
        <f t="shared" ref="S78:S92" si="4">IF(A78="","",(B78&lt;0)*1+(C78&lt;0)*1+(E78&gt;0)*1+(F78&gt;0)*1)</f>
        <v/>
      </c>
      <c r="T78" s="32" t="str">
        <f t="shared" ref="T78:T92" si="5">IF(A78="","",S78-IFERROR(B78/1000,0))</f>
        <v/>
      </c>
      <c r="U78" s="32" t="str">
        <f>IF(A78="","",IFERROR(RANK(T78,$T$78:$T$92)+COUNTIF($T$78:T78,T78)-1,""))</f>
        <v/>
      </c>
      <c r="V78" s="32" t="str">
        <f>IF(A78="","",IFERROR(RANK(B78,$B$78:$B$92)+COUNTIF($B$78:B78,B78)-1,""))</f>
        <v/>
      </c>
    </row>
    <row r="79" spans="1:22" ht="30" customHeight="1">
      <c r="A79" s="33" t="str">
        <f>IF(Aug!A112="","",Aug!A112)</f>
        <v/>
      </c>
      <c r="B79" s="34" t="str">
        <f>IF(A79="","",IFERROR((Aug!C112-Aug!B135)/Aug!B135,""))</f>
        <v/>
      </c>
      <c r="C79" s="34" t="str">
        <f>IF(A79="","",IFERROR((Aug!F112-Aug!C135)/ABS(Aug!C135),""))</f>
        <v/>
      </c>
      <c r="D79" s="34" t="str">
        <f>IF(A79="","",IFERROR((Aug!U112-Aug!D135)/Aug!D135,""))</f>
        <v/>
      </c>
      <c r="E79" s="34" t="str">
        <f>IF(A79="","",IFERROR(Aug!AA112-Aug!F135,""))</f>
        <v/>
      </c>
      <c r="F79" s="35" t="str">
        <f>IF(A79="","",Aug!AE112-Aug!H135)</f>
        <v/>
      </c>
      <c r="G79" s="30" t="str">
        <f t="shared" si="3"/>
        <v/>
      </c>
      <c r="H79" s="28" t="str">
        <f>IF(A79="","",IFERROR((Aug!I112-I135)/I135,""))</f>
        <v/>
      </c>
      <c r="I79" s="28" t="str">
        <f>IF(A79="","",IFERROR((Aug!L112-J135)/J135,""))</f>
        <v/>
      </c>
      <c r="J79" s="28" t="str">
        <f>IF(A79="","",IFERROR((Aug!O112-K135)/K135,""))</f>
        <v/>
      </c>
      <c r="K79" s="28" t="str">
        <f>IF(A79="","",IFERROR((Aug!R112-L135)/L135,""))</f>
        <v/>
      </c>
      <c r="L79" s="31" t="str">
        <f>IF(A79="","",IFERROR(Aug!AD112-M135,""))</f>
        <v/>
      </c>
      <c r="S79" s="32" t="str">
        <f t="shared" si="4"/>
        <v/>
      </c>
      <c r="T79" s="32" t="str">
        <f t="shared" si="5"/>
        <v/>
      </c>
      <c r="U79" s="32" t="str">
        <f>IF(A79="","",IFERROR(RANK(T79,$T$78:$T$92)+COUNTIF($T$78:T79,T79)-1,""))</f>
        <v/>
      </c>
      <c r="V79" s="32" t="str">
        <f>IF(A79="","",IFERROR(RANK(B79,$B$78:$B$92)+COUNTIF($B$78:B79,B79)-1,""))</f>
        <v/>
      </c>
    </row>
    <row r="80" spans="1:22" ht="30" customHeight="1">
      <c r="A80" s="27" t="str">
        <f>IF(Aug!A113="","",Aug!A113)</f>
        <v/>
      </c>
      <c r="B80" s="28" t="str">
        <f>IF(A80="","",IFERROR((Aug!C113-Aug!B136)/Aug!B136,""))</f>
        <v/>
      </c>
      <c r="C80" s="28" t="str">
        <f>IF(A80="","",IFERROR((Aug!F113-Aug!C136)/ABS(Aug!C136),""))</f>
        <v/>
      </c>
      <c r="D80" s="28" t="str">
        <f>IF(A80="","",IFERROR((Aug!U113-Aug!D136)/Aug!D136,""))</f>
        <v/>
      </c>
      <c r="E80" s="28" t="str">
        <f>IF(A80="","",IFERROR(Aug!AA113-Aug!F136,""))</f>
        <v/>
      </c>
      <c r="F80" s="29" t="str">
        <f>IF(A80="","",Aug!AE113-Aug!H136)</f>
        <v/>
      </c>
      <c r="G80" s="30" t="str">
        <f t="shared" si="3"/>
        <v/>
      </c>
      <c r="H80" s="28" t="str">
        <f>IF(A80="","",IFERROR((Aug!I113-I136)/I136,""))</f>
        <v/>
      </c>
      <c r="I80" s="28" t="str">
        <f>IF(A80="","",IFERROR((Aug!L113-J136)/J136,""))</f>
        <v/>
      </c>
      <c r="J80" s="28" t="str">
        <f>IF(A80="","",IFERROR((Aug!O113-K136)/K136,""))</f>
        <v/>
      </c>
      <c r="K80" s="28" t="str">
        <f>IF(A80="","",IFERROR((Aug!R113-L136)/L136,""))</f>
        <v/>
      </c>
      <c r="L80" s="31" t="str">
        <f>IF(A80="","",IFERROR(Aug!AD113-M136,""))</f>
        <v/>
      </c>
      <c r="S80" s="32" t="str">
        <f t="shared" si="4"/>
        <v/>
      </c>
      <c r="T80" s="32" t="str">
        <f t="shared" si="5"/>
        <v/>
      </c>
      <c r="U80" s="32" t="str">
        <f>IF(A80="","",IFERROR(RANK(T80,$T$78:$T$92)+COUNTIF($T$78:T80,T80)-1,""))</f>
        <v/>
      </c>
      <c r="V80" s="32" t="str">
        <f>IF(A80="","",IFERROR(RANK(B80,$B$78:$B$92)+COUNTIF($B$78:B80,B80)-1,""))</f>
        <v/>
      </c>
    </row>
    <row r="81" spans="1:22" ht="30" customHeight="1">
      <c r="A81" s="33" t="str">
        <f>IF(Aug!A114="","",Aug!A114)</f>
        <v/>
      </c>
      <c r="B81" s="34" t="str">
        <f>IF(A81="","",IFERROR((Aug!C114-Aug!B137)/Aug!B137,""))</f>
        <v/>
      </c>
      <c r="C81" s="34" t="str">
        <f>IF(A81="","",IFERROR((Aug!F114-Aug!C137)/ABS(Aug!C137),""))</f>
        <v/>
      </c>
      <c r="D81" s="34" t="str">
        <f>IF(A81="","",IFERROR((Aug!U114-Aug!D137)/Aug!D137,""))</f>
        <v/>
      </c>
      <c r="E81" s="34" t="str">
        <f>IF(A81="","",IFERROR(Aug!AA114-Aug!F137,""))</f>
        <v/>
      </c>
      <c r="F81" s="35" t="str">
        <f>IF(A81="","",Aug!AE114-Aug!H137)</f>
        <v/>
      </c>
      <c r="G81" s="30" t="str">
        <f t="shared" si="3"/>
        <v/>
      </c>
      <c r="H81" s="28" t="str">
        <f>IF(A81="","",IFERROR((Aug!I114-I137)/I137,""))</f>
        <v/>
      </c>
      <c r="I81" s="28" t="str">
        <f>IF(A81="","",IFERROR((Aug!L114-J137)/J137,""))</f>
        <v/>
      </c>
      <c r="J81" s="28" t="str">
        <f>IF(A81="","",IFERROR((Aug!O114-K137)/K137,""))</f>
        <v/>
      </c>
      <c r="K81" s="28" t="str">
        <f>IF(A81="","",IFERROR((Aug!R114-L137)/L137,""))</f>
        <v/>
      </c>
      <c r="L81" s="31" t="str">
        <f>IF(A81="","",IFERROR(Aug!AD114-M137,""))</f>
        <v/>
      </c>
      <c r="S81" s="32" t="str">
        <f t="shared" si="4"/>
        <v/>
      </c>
      <c r="T81" s="32" t="str">
        <f t="shared" si="5"/>
        <v/>
      </c>
      <c r="U81" s="32" t="str">
        <f>IF(A81="","",IFERROR(RANK(T81,$T$78:$T$92)+COUNTIF($T$78:T81,T81)-1,""))</f>
        <v/>
      </c>
      <c r="V81" s="32" t="str">
        <f>IF(A81="","",IFERROR(RANK(B81,$B$78:$B$92)+COUNTIF($B$78:B81,B81)-1,""))</f>
        <v/>
      </c>
    </row>
    <row r="82" spans="1:22" ht="30" customHeight="1">
      <c r="A82" s="27" t="str">
        <f>IF(Aug!A115="","",Aug!A115)</f>
        <v/>
      </c>
      <c r="B82" s="28" t="str">
        <f>IF(A82="","",IFERROR((Aug!C115-Aug!B138)/Aug!B138,""))</f>
        <v/>
      </c>
      <c r="C82" s="28" t="str">
        <f>IF(A82="","",IFERROR((Aug!F115-Aug!C138)/ABS(Aug!C138),""))</f>
        <v/>
      </c>
      <c r="D82" s="28" t="str">
        <f>IF(A82="","",IFERROR((Aug!U115-Aug!D138)/Aug!D138,""))</f>
        <v/>
      </c>
      <c r="E82" s="28" t="str">
        <f>IF(A82="","",IFERROR(Aug!AA115-Aug!F138,""))</f>
        <v/>
      </c>
      <c r="F82" s="29" t="str">
        <f>IF(A82="","",Aug!AE115-Aug!H138)</f>
        <v/>
      </c>
      <c r="G82" s="30" t="str">
        <f t="shared" si="3"/>
        <v/>
      </c>
      <c r="H82" s="28" t="str">
        <f>IF(A82="","",IFERROR((Aug!I115-I138)/I138,""))</f>
        <v/>
      </c>
      <c r="I82" s="28" t="str">
        <f>IF(A82="","",IFERROR((Aug!L115-J138)/J138,""))</f>
        <v/>
      </c>
      <c r="J82" s="28" t="str">
        <f>IF(A82="","",IFERROR((Aug!O115-K138)/K138,""))</f>
        <v/>
      </c>
      <c r="K82" s="28" t="str">
        <f>IF(A82="","",IFERROR((Aug!R115-L138)/L138,""))</f>
        <v/>
      </c>
      <c r="L82" s="31" t="str">
        <f>IF(A82="","",IFERROR(Aug!AD115-M138,""))</f>
        <v/>
      </c>
      <c r="S82" s="32" t="str">
        <f t="shared" si="4"/>
        <v/>
      </c>
      <c r="T82" s="32" t="str">
        <f t="shared" si="5"/>
        <v/>
      </c>
      <c r="U82" s="32" t="str">
        <f>IF(A82="","",IFERROR(RANK(T82,$T$78:$T$92)+COUNTIF($T$78:T82,T82)-1,""))</f>
        <v/>
      </c>
      <c r="V82" s="32" t="str">
        <f>IF(A82="","",IFERROR(RANK(B82,$B$78:$B$92)+COUNTIF($B$78:B82,B82)-1,""))</f>
        <v/>
      </c>
    </row>
    <row r="83" spans="1:22" ht="30" customHeight="1">
      <c r="A83" s="33" t="str">
        <f>IF(Aug!A116="","",Aug!A116)</f>
        <v/>
      </c>
      <c r="B83" s="34" t="str">
        <f>IF(A83="","",IFERROR((Aug!C116-Aug!B139)/Aug!B139,""))</f>
        <v/>
      </c>
      <c r="C83" s="34" t="str">
        <f>IF(A83="","",IFERROR((Aug!F116-Aug!C139)/ABS(Aug!C139),""))</f>
        <v/>
      </c>
      <c r="D83" s="34" t="str">
        <f>IF(A83="","",IFERROR((Aug!U116-Aug!D139)/Aug!D139,""))</f>
        <v/>
      </c>
      <c r="E83" s="34" t="str">
        <f>IF(A83="","",IFERROR(Aug!AA116-Aug!F139,""))</f>
        <v/>
      </c>
      <c r="F83" s="35" t="str">
        <f>IF(A83="","",Aug!AE116-Aug!H139)</f>
        <v/>
      </c>
      <c r="G83" s="30" t="str">
        <f t="shared" si="3"/>
        <v/>
      </c>
      <c r="H83" s="28" t="str">
        <f>IF(A83="","",IFERROR((Aug!I116-I139)/I139,""))</f>
        <v/>
      </c>
      <c r="I83" s="28" t="str">
        <f>IF(A83="","",IFERROR((Aug!L116-J139)/J139,""))</f>
        <v/>
      </c>
      <c r="J83" s="28" t="str">
        <f>IF(A83="","",IFERROR((Aug!O116-K139)/K139,""))</f>
        <v/>
      </c>
      <c r="K83" s="28" t="str">
        <f>IF(A83="","",IFERROR((Aug!R116-L139)/L139,""))</f>
        <v/>
      </c>
      <c r="L83" s="31" t="str">
        <f>IF(A83="","",IFERROR(Aug!AD116-M139,""))</f>
        <v/>
      </c>
      <c r="S83" s="32" t="str">
        <f t="shared" si="4"/>
        <v/>
      </c>
      <c r="T83" s="32" t="str">
        <f t="shared" si="5"/>
        <v/>
      </c>
      <c r="U83" s="32" t="str">
        <f>IF(A83="","",IFERROR(RANK(T83,$T$78:$T$92)+COUNTIF($T$78:T83,T83)-1,""))</f>
        <v/>
      </c>
      <c r="V83" s="32" t="str">
        <f>IF(A83="","",IFERROR(RANK(B83,$B$78:$B$92)+COUNTIF($B$78:B83,B83)-1,""))</f>
        <v/>
      </c>
    </row>
    <row r="84" spans="1:22" ht="30" customHeight="1">
      <c r="A84" s="27" t="str">
        <f>IF(Aug!A117="","",Aug!A117)</f>
        <v/>
      </c>
      <c r="B84" s="28" t="str">
        <f>IF(A84="","",IFERROR((Aug!C117-Aug!B140)/Aug!B140,""))</f>
        <v/>
      </c>
      <c r="C84" s="28" t="str">
        <f>IF(A84="","",IFERROR((Aug!F117-Aug!C140)/ABS(Aug!C140),""))</f>
        <v/>
      </c>
      <c r="D84" s="28" t="str">
        <f>IF(A84="","",IFERROR((Aug!U117-Aug!D140)/Aug!D140,""))</f>
        <v/>
      </c>
      <c r="E84" s="28" t="str">
        <f>IF(A84="","",IFERROR(Aug!AA117-Aug!F140,""))</f>
        <v/>
      </c>
      <c r="F84" s="29" t="str">
        <f>IF(A84="","",Aug!AE117-Aug!H140)</f>
        <v/>
      </c>
      <c r="G84" s="30" t="str">
        <f t="shared" si="3"/>
        <v/>
      </c>
      <c r="H84" s="28" t="str">
        <f>IF(A84="","",IFERROR((Aug!I117-I140)/I140,""))</f>
        <v/>
      </c>
      <c r="I84" s="28" t="str">
        <f>IF(A84="","",IFERROR((Aug!L117-J140)/J140,""))</f>
        <v/>
      </c>
      <c r="J84" s="28" t="str">
        <f>IF(A84="","",IFERROR((Aug!O117-K140)/K140,""))</f>
        <v/>
      </c>
      <c r="K84" s="28" t="str">
        <f>IF(A84="","",IFERROR((Aug!R117-L140)/L140,""))</f>
        <v/>
      </c>
      <c r="L84" s="31" t="str">
        <f>IF(A84="","",IFERROR(Aug!AD117-M140,""))</f>
        <v/>
      </c>
      <c r="S84" s="32" t="str">
        <f t="shared" si="4"/>
        <v/>
      </c>
      <c r="T84" s="32" t="str">
        <f t="shared" si="5"/>
        <v/>
      </c>
      <c r="U84" s="32" t="str">
        <f>IF(A84="","",IFERROR(RANK(T84,$T$78:$T$92)+COUNTIF($T$78:T84,T84)-1,""))</f>
        <v/>
      </c>
      <c r="V84" s="32" t="str">
        <f>IF(A84="","",IFERROR(RANK(B84,$B$78:$B$92)+COUNTIF($B$78:B84,B84)-1,""))</f>
        <v/>
      </c>
    </row>
    <row r="85" spans="1:22" ht="30" customHeight="1">
      <c r="A85" s="33" t="str">
        <f>IF(Aug!A118="","",Aug!A118)</f>
        <v/>
      </c>
      <c r="B85" s="34" t="str">
        <f>IF(A85="","",IFERROR((Aug!C118-Aug!B141)/Aug!B141,""))</f>
        <v/>
      </c>
      <c r="C85" s="34" t="str">
        <f>IF(A85="","",IFERROR((Aug!F118-Aug!C141)/ABS(Aug!C141),""))</f>
        <v/>
      </c>
      <c r="D85" s="34" t="str">
        <f>IF(A85="","",IFERROR((Aug!U118-Aug!D141)/Aug!D141,""))</f>
        <v/>
      </c>
      <c r="E85" s="34" t="str">
        <f>IF(A85="","",IFERROR(Aug!AA118-Aug!F141,""))</f>
        <v/>
      </c>
      <c r="F85" s="35" t="str">
        <f>IF(A85="","",Aug!AE118-Aug!H141)</f>
        <v/>
      </c>
      <c r="G85" s="30" t="str">
        <f t="shared" si="3"/>
        <v/>
      </c>
      <c r="H85" s="28" t="str">
        <f>IF(A85="","",IFERROR((Aug!I118-I141)/I141,""))</f>
        <v/>
      </c>
      <c r="I85" s="28" t="str">
        <f>IF(A85="","",IFERROR((Aug!L118-J141)/J141,""))</f>
        <v/>
      </c>
      <c r="J85" s="28" t="str">
        <f>IF(A85="","",IFERROR((Aug!O118-K141)/K141,""))</f>
        <v/>
      </c>
      <c r="K85" s="28" t="str">
        <f>IF(A85="","",IFERROR((Aug!R118-L141)/L141,""))</f>
        <v/>
      </c>
      <c r="L85" s="31" t="str">
        <f>IF(A85="","",IFERROR(Aug!AD118-M141,""))</f>
        <v/>
      </c>
      <c r="S85" s="32" t="str">
        <f t="shared" si="4"/>
        <v/>
      </c>
      <c r="T85" s="32" t="str">
        <f t="shared" si="5"/>
        <v/>
      </c>
      <c r="U85" s="32" t="str">
        <f>IF(A85="","",IFERROR(RANK(T85,$T$78:$T$92)+COUNTIF($T$78:T85,T85)-1,""))</f>
        <v/>
      </c>
      <c r="V85" s="32" t="str">
        <f>IF(A85="","",IFERROR(RANK(B85,$B$78:$B$92)+COUNTIF($B$78:B85,B85)-1,""))</f>
        <v/>
      </c>
    </row>
    <row r="86" spans="1:22" ht="30" customHeight="1">
      <c r="A86" s="27" t="str">
        <f>IF(Aug!A119="","",Aug!A119)</f>
        <v/>
      </c>
      <c r="B86" s="28" t="str">
        <f>IF(A86="","",IFERROR((Aug!C119-Aug!B142)/Aug!B142,""))</f>
        <v/>
      </c>
      <c r="C86" s="28" t="str">
        <f>IF(A86="","",IFERROR((Aug!F119-Aug!C142)/ABS(Aug!C142),""))</f>
        <v/>
      </c>
      <c r="D86" s="28" t="str">
        <f>IF(A86="","",IFERROR((Aug!U119-Aug!D142)/Aug!D142,""))</f>
        <v/>
      </c>
      <c r="E86" s="28" t="str">
        <f>IF(A86="","",IFERROR(Aug!AA119-Aug!F142,""))</f>
        <v/>
      </c>
      <c r="F86" s="29" t="str">
        <f>IF(A86="","",Aug!AE119-Aug!H142)</f>
        <v/>
      </c>
      <c r="G86" s="30" t="str">
        <f t="shared" si="3"/>
        <v/>
      </c>
      <c r="H86" s="28" t="str">
        <f>IF(A86="","",IFERROR((Aug!I119-I142)/I142,""))</f>
        <v/>
      </c>
      <c r="I86" s="28" t="str">
        <f>IF(A86="","",IFERROR((Aug!L119-J142)/J142,""))</f>
        <v/>
      </c>
      <c r="J86" s="28" t="str">
        <f>IF(A86="","",IFERROR((Aug!O119-K142)/K142,""))</f>
        <v/>
      </c>
      <c r="K86" s="28" t="str">
        <f>IF(A86="","",IFERROR((Aug!R119-L142)/L142,""))</f>
        <v/>
      </c>
      <c r="L86" s="31" t="str">
        <f>IF(A86="","",IFERROR(Aug!AD119-M142,""))</f>
        <v/>
      </c>
      <c r="S86" s="32" t="str">
        <f t="shared" si="4"/>
        <v/>
      </c>
      <c r="T86" s="32" t="str">
        <f t="shared" si="5"/>
        <v/>
      </c>
      <c r="U86" s="32" t="str">
        <f>IF(A86="","",IFERROR(RANK(T86,$T$78:$T$92)+COUNTIF($T$78:T86,T86)-1,""))</f>
        <v/>
      </c>
      <c r="V86" s="32" t="str">
        <f>IF(A86="","",IFERROR(RANK(B86,$B$78:$B$92)+COUNTIF($B$78:B86,B86)-1,""))</f>
        <v/>
      </c>
    </row>
    <row r="87" spans="1:22" ht="30" customHeight="1">
      <c r="A87" s="33" t="str">
        <f>IF(Aug!A120="","",Aug!A120)</f>
        <v/>
      </c>
      <c r="B87" s="34" t="str">
        <f>IF(A87="","",IFERROR((Aug!C120-Aug!B143)/Aug!B143,""))</f>
        <v/>
      </c>
      <c r="C87" s="34" t="str">
        <f>IF(A87="","",IFERROR((Aug!F120-Aug!C143)/ABS(Aug!C143),""))</f>
        <v/>
      </c>
      <c r="D87" s="34" t="str">
        <f>IF(A87="","",IFERROR((Aug!U120-Aug!D143)/Aug!D143,""))</f>
        <v/>
      </c>
      <c r="E87" s="34" t="str">
        <f>IF(A87="","",IFERROR(Aug!AA120-Aug!F143,""))</f>
        <v/>
      </c>
      <c r="F87" s="35" t="str">
        <f>IF(A87="","",Aug!AE120-Aug!H143)</f>
        <v/>
      </c>
      <c r="G87" s="30" t="str">
        <f t="shared" si="3"/>
        <v/>
      </c>
      <c r="H87" s="28" t="str">
        <f>IF(A87="","",IFERROR((Aug!I120-I143)/I143,""))</f>
        <v/>
      </c>
      <c r="I87" s="28" t="str">
        <f>IF(A87="","",IFERROR((Aug!L120-J143)/J143,""))</f>
        <v/>
      </c>
      <c r="J87" s="28" t="str">
        <f>IF(A87="","",IFERROR((Aug!O120-K143)/K143,""))</f>
        <v/>
      </c>
      <c r="K87" s="28" t="str">
        <f>IF(A87="","",IFERROR((Aug!R120-L143)/L143,""))</f>
        <v/>
      </c>
      <c r="L87" s="31" t="str">
        <f>IF(A87="","",IFERROR(Aug!AD120-M143,""))</f>
        <v/>
      </c>
      <c r="S87" s="32" t="str">
        <f t="shared" si="4"/>
        <v/>
      </c>
      <c r="T87" s="32" t="str">
        <f t="shared" si="5"/>
        <v/>
      </c>
      <c r="U87" s="32" t="str">
        <f>IF(A87="","",IFERROR(RANK(T87,$T$78:$T$92)+COUNTIF($T$78:T87,T87)-1,""))</f>
        <v/>
      </c>
      <c r="V87" s="32" t="str">
        <f>IF(A87="","",IFERROR(RANK(B87,$B$78:$B$92)+COUNTIF($B$78:B87,B87)-1,""))</f>
        <v/>
      </c>
    </row>
    <row r="88" spans="1:22" ht="30" customHeight="1">
      <c r="A88" s="27" t="str">
        <f>IF(Aug!A121="","",Aug!A121)</f>
        <v/>
      </c>
      <c r="B88" s="28" t="str">
        <f>IF(A88="","",IFERROR((Aug!C121-Aug!B144)/Aug!B144,""))</f>
        <v/>
      </c>
      <c r="C88" s="28" t="str">
        <f>IF(A88="","",IFERROR((Aug!F121-Aug!C144)/ABS(Aug!C144),""))</f>
        <v/>
      </c>
      <c r="D88" s="28" t="str">
        <f>IF(A88="","",IFERROR((Aug!U121-Aug!D144)/Aug!D144,""))</f>
        <v/>
      </c>
      <c r="E88" s="28" t="str">
        <f>IF(A88="","",IFERROR(Aug!AA121-Aug!F144,""))</f>
        <v/>
      </c>
      <c r="F88" s="29" t="str">
        <f>IF(A88="","",Aug!AE121-Aug!H144)</f>
        <v/>
      </c>
      <c r="G88" s="30" t="str">
        <f t="shared" si="3"/>
        <v/>
      </c>
      <c r="H88" s="28" t="str">
        <f>IF(A88="","",IFERROR((Aug!I121-I144)/I144,""))</f>
        <v/>
      </c>
      <c r="I88" s="28" t="str">
        <f>IF(A88="","",IFERROR((Aug!L121-J144)/J144,""))</f>
        <v/>
      </c>
      <c r="J88" s="28" t="str">
        <f>IF(A88="","",IFERROR((Aug!O121-K144)/K144,""))</f>
        <v/>
      </c>
      <c r="K88" s="28" t="str">
        <f>IF(A88="","",IFERROR((Aug!R121-L144)/L144,""))</f>
        <v/>
      </c>
      <c r="L88" s="31" t="str">
        <f>IF(A88="","",IFERROR(Aug!AD121-M144,""))</f>
        <v/>
      </c>
      <c r="S88" s="32" t="str">
        <f t="shared" si="4"/>
        <v/>
      </c>
      <c r="T88" s="32" t="str">
        <f t="shared" si="5"/>
        <v/>
      </c>
      <c r="U88" s="32" t="str">
        <f>IF(A88="","",IFERROR(RANK(T88,$T$78:$T$92)+COUNTIF($T$78:T88,T88)-1,""))</f>
        <v/>
      </c>
      <c r="V88" s="32" t="str">
        <f>IF(A88="","",IFERROR(RANK(B88,$B$78:$B$92)+COUNTIF($B$78:B88,B88)-1,""))</f>
        <v/>
      </c>
    </row>
    <row r="89" spans="1:22" ht="30" customHeight="1">
      <c r="A89" s="33" t="str">
        <f>IF(Aug!A122="","",Aug!A122)</f>
        <v/>
      </c>
      <c r="B89" s="34" t="str">
        <f>IF(A89="","",IFERROR((Aug!C122-Aug!B145)/Aug!B145,""))</f>
        <v/>
      </c>
      <c r="C89" s="34" t="str">
        <f>IF(A89="","",IFERROR((Aug!F122-Aug!C145)/ABS(Aug!C145),""))</f>
        <v/>
      </c>
      <c r="D89" s="34" t="str">
        <f>IF(A89="","",IFERROR((Aug!U122-Aug!D145)/Aug!D145,""))</f>
        <v/>
      </c>
      <c r="E89" s="34" t="str">
        <f>IF(A89="","",IFERROR(Aug!AA122-Aug!F145,""))</f>
        <v/>
      </c>
      <c r="F89" s="35" t="str">
        <f>IF(A89="","",Aug!AE122-Aug!H145)</f>
        <v/>
      </c>
      <c r="G89" s="30" t="str">
        <f t="shared" si="3"/>
        <v/>
      </c>
      <c r="H89" s="28" t="str">
        <f>IF(A89="","",IFERROR((Aug!I122-I145)/I145,""))</f>
        <v/>
      </c>
      <c r="I89" s="28" t="str">
        <f>IF(A89="","",IFERROR((Aug!L122-J145)/J145,""))</f>
        <v/>
      </c>
      <c r="J89" s="28" t="str">
        <f>IF(A89="","",IFERROR((Aug!O122-K145)/K145,""))</f>
        <v/>
      </c>
      <c r="K89" s="28" t="str">
        <f>IF(A89="","",IFERROR((Aug!R122-L145)/L145,""))</f>
        <v/>
      </c>
      <c r="L89" s="31" t="str">
        <f>IF(A89="","",IFERROR(Aug!AD122-M145,""))</f>
        <v/>
      </c>
      <c r="S89" s="32" t="str">
        <f t="shared" si="4"/>
        <v/>
      </c>
      <c r="T89" s="32" t="str">
        <f t="shared" si="5"/>
        <v/>
      </c>
      <c r="U89" s="32" t="str">
        <f>IF(A89="","",IFERROR(RANK(T89,$T$78:$T$92)+COUNTIF($T$78:T89,T89)-1,""))</f>
        <v/>
      </c>
      <c r="V89" s="32" t="str">
        <f>IF(A89="","",IFERROR(RANK(B89,$B$78:$B$92)+COUNTIF($B$78:B89,B89)-1,""))</f>
        <v/>
      </c>
    </row>
    <row r="90" spans="1:22" ht="30" customHeight="1">
      <c r="A90" s="27" t="str">
        <f>IF(Aug!A123="","",Aug!A123)</f>
        <v/>
      </c>
      <c r="B90" s="28" t="str">
        <f>IF(A90="","",IFERROR((Aug!C123-Aug!B146)/Aug!B146,""))</f>
        <v/>
      </c>
      <c r="C90" s="28" t="str">
        <f>IF(A90="","",IFERROR((Aug!F123-Aug!C146)/ABS(Aug!C146),""))</f>
        <v/>
      </c>
      <c r="D90" s="28" t="str">
        <f>IF(A90="","",IFERROR((Aug!U123-Aug!D146)/Aug!D146,""))</f>
        <v/>
      </c>
      <c r="E90" s="28" t="str">
        <f>IF(A90="","",IFERROR(Aug!AA123-Aug!F146,""))</f>
        <v/>
      </c>
      <c r="F90" s="29" t="str">
        <f>IF(A90="","",Aug!AE123-Aug!H146)</f>
        <v/>
      </c>
      <c r="G90" s="30" t="str">
        <f t="shared" si="3"/>
        <v/>
      </c>
      <c r="H90" s="28" t="str">
        <f>IF(A90="","",IFERROR((Aug!I123-I146)/I146,""))</f>
        <v/>
      </c>
      <c r="I90" s="28" t="str">
        <f>IF(A90="","",IFERROR((Aug!L123-J146)/J146,""))</f>
        <v/>
      </c>
      <c r="J90" s="28" t="str">
        <f>IF(A90="","",IFERROR((Aug!O123-K146)/K146,""))</f>
        <v/>
      </c>
      <c r="K90" s="28" t="str">
        <f>IF(A90="","",IFERROR((Aug!R123-L146)/L146,""))</f>
        <v/>
      </c>
      <c r="L90" s="31" t="str">
        <f>IF(A90="","",IFERROR(Aug!AD123-M146,""))</f>
        <v/>
      </c>
      <c r="S90" s="32" t="str">
        <f t="shared" si="4"/>
        <v/>
      </c>
      <c r="T90" s="32" t="str">
        <f t="shared" si="5"/>
        <v/>
      </c>
      <c r="U90" s="32" t="str">
        <f>IF(A90="","",IFERROR(RANK(T90,$T$78:$T$92)+COUNTIF($T$78:T90,T90)-1,""))</f>
        <v/>
      </c>
      <c r="V90" s="32" t="str">
        <f>IF(A90="","",IFERROR(RANK(B90,$B$78:$B$92)+COUNTIF($B$78:B90,B90)-1,""))</f>
        <v/>
      </c>
    </row>
    <row r="91" spans="1:22" ht="30" customHeight="1">
      <c r="A91" s="33" t="str">
        <f>IF(Aug!A124="","",Aug!A124)</f>
        <v/>
      </c>
      <c r="B91" s="34" t="str">
        <f>IF(A91="","",IFERROR((Aug!C124-Aug!B147)/Aug!B147,""))</f>
        <v/>
      </c>
      <c r="C91" s="34" t="str">
        <f>IF(A91="","",IFERROR((Aug!F124-Aug!C147)/ABS(Aug!C147),""))</f>
        <v/>
      </c>
      <c r="D91" s="34" t="str">
        <f>IF(A91="","",IFERROR((Aug!U124-Aug!D147)/Aug!D147,""))</f>
        <v/>
      </c>
      <c r="E91" s="34" t="str">
        <f>IF(A91="","",IFERROR(Aug!AA124-Aug!F147,""))</f>
        <v/>
      </c>
      <c r="F91" s="35" t="str">
        <f>IF(A91="","",Aug!AE124-Aug!H147)</f>
        <v/>
      </c>
      <c r="G91" s="30" t="str">
        <f t="shared" si="3"/>
        <v/>
      </c>
      <c r="H91" s="28" t="str">
        <f>IF(A91="","",IFERROR((Aug!I124-I147)/I147,""))</f>
        <v/>
      </c>
      <c r="I91" s="28" t="str">
        <f>IF(A91="","",IFERROR((Aug!L124-J147)/J147,""))</f>
        <v/>
      </c>
      <c r="J91" s="28" t="str">
        <f>IF(A91="","",IFERROR((Aug!O124-K147)/K147,""))</f>
        <v/>
      </c>
      <c r="K91" s="28" t="str">
        <f>IF(A91="","",IFERROR((Aug!R124-L147)/L147,""))</f>
        <v/>
      </c>
      <c r="L91" s="31" t="str">
        <f>IF(A91="","",IFERROR(Aug!AD124-M147,""))</f>
        <v/>
      </c>
      <c r="S91" s="32" t="str">
        <f t="shared" si="4"/>
        <v/>
      </c>
      <c r="T91" s="32" t="str">
        <f t="shared" si="5"/>
        <v/>
      </c>
      <c r="U91" s="32" t="str">
        <f>IF(A91="","",IFERROR(RANK(T91,$T$78:$T$92)+COUNTIF($T$78:T91,T91)-1,""))</f>
        <v/>
      </c>
      <c r="V91" s="32" t="str">
        <f>IF(A91="","",IFERROR(RANK(B91,$B$78:$B$92)+COUNTIF($B$78:B91,B91)-1,""))</f>
        <v/>
      </c>
    </row>
    <row r="92" spans="1:22" ht="30" customHeight="1">
      <c r="A92" s="27" t="str">
        <f>IF(Aug!A125="","",Aug!A125)</f>
        <v/>
      </c>
      <c r="B92" s="28" t="str">
        <f>IF(A92="","",IFERROR((Aug!C125-Aug!B148)/Aug!B148,""))</f>
        <v/>
      </c>
      <c r="C92" s="28" t="str">
        <f>IF(A92="","",IFERROR((Aug!F125-Aug!C148)/ABS(Aug!C148),""))</f>
        <v/>
      </c>
      <c r="D92" s="28" t="str">
        <f>IF(A92="","",IFERROR((Aug!U125-Aug!D148)/Aug!D148,""))</f>
        <v/>
      </c>
      <c r="E92" s="28" t="str">
        <f>IF(A92="","",IFERROR(Aug!AA125-Aug!F148,""))</f>
        <v/>
      </c>
      <c r="F92" s="29" t="str">
        <f>IF(A92="","",Aug!AE125-Aug!H148)</f>
        <v/>
      </c>
      <c r="G92" s="30" t="str">
        <f t="shared" si="3"/>
        <v/>
      </c>
      <c r="H92" s="28" t="str">
        <f>IF(A92="","",IFERROR((Aug!I125-I148)/I148,""))</f>
        <v/>
      </c>
      <c r="I92" s="28" t="str">
        <f>IF(A92="","",IFERROR((Aug!L125-J148)/J148,""))</f>
        <v/>
      </c>
      <c r="J92" s="28" t="str">
        <f>IF(A92="","",IFERROR((Aug!O125-K148)/K148,""))</f>
        <v/>
      </c>
      <c r="K92" s="28" t="str">
        <f>IF(A92="","",IFERROR((Aug!R125-L148)/L148,""))</f>
        <v/>
      </c>
      <c r="L92" s="31" t="str">
        <f>IF(A92="","",IFERROR(Aug!AD125-M148,""))</f>
        <v/>
      </c>
      <c r="S92" s="32" t="str">
        <f t="shared" si="4"/>
        <v/>
      </c>
      <c r="T92" s="32" t="str">
        <f t="shared" si="5"/>
        <v/>
      </c>
      <c r="U92" s="32" t="str">
        <f>IF(A92="","",IFERROR(RANK(T92,$T$78:$T$92)+COUNTIF($T$78:T92,T92)-1,""))</f>
        <v/>
      </c>
      <c r="V92" s="32" t="str">
        <f>IF(A92="","",IFERROR(RANK(B92,$B$78:$B$92)+COUNTIF($B$78:B92,B92)-1,""))</f>
        <v/>
      </c>
    </row>
    <row r="95" spans="1:22" ht="24" customHeight="1">
      <c r="A95" s="76" t="s">
        <v>42</v>
      </c>
      <c r="B95" s="76"/>
      <c r="C95" s="76"/>
      <c r="D95" s="76"/>
      <c r="E95" s="76"/>
      <c r="F95" s="76"/>
      <c r="H95" s="76" t="s">
        <v>43</v>
      </c>
      <c r="I95" s="76"/>
      <c r="J95" s="76"/>
      <c r="K95" s="76"/>
      <c r="L95" s="76"/>
      <c r="M95" s="76"/>
      <c r="N95" s="76"/>
    </row>
    <row r="96" spans="1:22" ht="27.75" customHeight="1">
      <c r="A96" s="26" t="s">
        <v>20</v>
      </c>
      <c r="B96" s="77" t="s">
        <v>21</v>
      </c>
      <c r="C96" s="77"/>
      <c r="D96" s="77"/>
      <c r="E96" s="77" t="s">
        <v>31</v>
      </c>
      <c r="F96" s="77"/>
      <c r="H96" s="26" t="s">
        <v>20</v>
      </c>
      <c r="I96" s="77" t="s">
        <v>21</v>
      </c>
      <c r="J96" s="77"/>
      <c r="K96" s="77" t="s">
        <v>22</v>
      </c>
      <c r="L96" s="77"/>
      <c r="M96" s="77"/>
      <c r="N96" s="77"/>
    </row>
    <row r="97" spans="1:36" ht="18" customHeight="1">
      <c r="A97" s="36">
        <v>1</v>
      </c>
      <c r="B97" s="78" t="str">
        <f>IFERROR(INDEX($A$78:$A$92,MATCH(1,$V$78:$V$92,0)),"-")</f>
        <v>-</v>
      </c>
      <c r="C97" s="78"/>
      <c r="D97" s="78"/>
      <c r="E97" s="79" t="str">
        <f>IFERROR(INDEX($B$78:$B$92,MATCH(1,$V$78:$V$92,0)),"")</f>
        <v/>
      </c>
      <c r="F97" s="79"/>
      <c r="H97" s="36">
        <v>1</v>
      </c>
      <c r="I97" s="78" t="str">
        <f>IFERROR(INDEX($A$78:$A$92,MATCH(1,$U$78:$U$92,0)),"-")</f>
        <v>-</v>
      </c>
      <c r="J97" s="78"/>
      <c r="K97" s="78" t="str">
        <f>IFERROR(INDEX($G$78:$G$92,MATCH(1,$U$78:$U$92,0)),"")</f>
        <v/>
      </c>
      <c r="L97" s="78"/>
      <c r="M97" s="78"/>
      <c r="N97" s="78"/>
    </row>
    <row r="98" spans="1:36" ht="18" customHeight="1">
      <c r="A98" s="37">
        <v>2</v>
      </c>
      <c r="B98" s="80" t="str">
        <f>IFERROR(INDEX($A$78:$A$92,MATCH(2,$V$78:$V$92,0)),"-")</f>
        <v>-</v>
      </c>
      <c r="C98" s="80"/>
      <c r="D98" s="80"/>
      <c r="E98" s="81" t="str">
        <f>IFERROR(INDEX($B$78:$B$92,MATCH(2,$V$78:$V$92,0)),"")</f>
        <v/>
      </c>
      <c r="F98" s="81"/>
      <c r="H98" s="37">
        <v>2</v>
      </c>
      <c r="I98" s="80" t="str">
        <f>IFERROR(INDEX($A$78:$A$92,MATCH(2,$U$78:$U$92,0)),"-")</f>
        <v>-</v>
      </c>
      <c r="J98" s="80"/>
      <c r="K98" s="80" t="str">
        <f>IFERROR(INDEX($G$78:$G$92,MATCH(2,$U$78:$U$92,0)),"")</f>
        <v/>
      </c>
      <c r="L98" s="80"/>
      <c r="M98" s="80"/>
      <c r="N98" s="80"/>
    </row>
    <row r="99" spans="1:36" ht="18" customHeight="1">
      <c r="A99" s="36">
        <v>3</v>
      </c>
      <c r="B99" s="78" t="str">
        <f>IFERROR(INDEX($A$78:$A$92,MATCH(3,$V$78:$V$92,0)),"-")</f>
        <v>-</v>
      </c>
      <c r="C99" s="78"/>
      <c r="D99" s="78"/>
      <c r="E99" s="79" t="str">
        <f>IFERROR(INDEX($B$78:$B$92,MATCH(3,$V$78:$V$92,0)),"")</f>
        <v/>
      </c>
      <c r="F99" s="79"/>
      <c r="H99" s="36">
        <v>3</v>
      </c>
      <c r="I99" s="78" t="str">
        <f>IFERROR(INDEX($A$78:$A$92,MATCH(3,$U$78:$U$92,0)),"-")</f>
        <v>-</v>
      </c>
      <c r="J99" s="78"/>
      <c r="K99" s="78" t="str">
        <f>IFERROR(INDEX($G$78:$G$92,MATCH(3,$U$78:$U$92,0)),"")</f>
        <v/>
      </c>
      <c r="L99" s="78"/>
      <c r="M99" s="78"/>
      <c r="N99" s="78"/>
    </row>
    <row r="100" spans="1:36" ht="18" customHeight="1">
      <c r="A100" s="37">
        <v>4</v>
      </c>
      <c r="B100" s="80" t="str">
        <f>IFERROR(INDEX($A$78:$A$92,MATCH(4,$V$78:$V$92,0)),"-")</f>
        <v>-</v>
      </c>
      <c r="C100" s="80"/>
      <c r="D100" s="80"/>
      <c r="E100" s="81" t="str">
        <f>IFERROR(INDEX($B$78:$B$92,MATCH(4,$V$78:$V$92,0)),"")</f>
        <v/>
      </c>
      <c r="F100" s="81"/>
      <c r="H100" s="37">
        <v>4</v>
      </c>
      <c r="I100" s="80" t="str">
        <f>IFERROR(INDEX($A$78:$A$92,MATCH(4,$U$78:$U$92,0)),"-")</f>
        <v>-</v>
      </c>
      <c r="J100" s="80"/>
      <c r="K100" s="80" t="str">
        <f>IFERROR(INDEX($G$78:$G$92,MATCH(4,$U$78:$U$92,0)),"")</f>
        <v/>
      </c>
      <c r="L100" s="80"/>
      <c r="M100" s="80"/>
      <c r="N100" s="80"/>
    </row>
    <row r="101" spans="1:36" ht="18" customHeight="1">
      <c r="A101" s="36">
        <v>5</v>
      </c>
      <c r="B101" s="78" t="str">
        <f>IFERROR(INDEX($A$78:$A$92,MATCH(5,$V$78:$V$92,0)),"-")</f>
        <v>-</v>
      </c>
      <c r="C101" s="78"/>
      <c r="D101" s="78"/>
      <c r="E101" s="79" t="str">
        <f>IFERROR(INDEX($B$78:$B$92,MATCH(5,$V$78:$V$92,0)),"")</f>
        <v/>
      </c>
      <c r="F101" s="79"/>
      <c r="H101" s="36">
        <v>5</v>
      </c>
      <c r="I101" s="78" t="str">
        <f>IFERROR(INDEX($A$78:$A$92,MATCH(5,$U$78:$U$92,0)),"-")</f>
        <v>-</v>
      </c>
      <c r="J101" s="78"/>
      <c r="K101" s="78" t="str">
        <f>IFERROR(INDEX($G$78:$G$92,MATCH(5,$U$78:$U$92,0)),"")</f>
        <v/>
      </c>
      <c r="L101" s="78"/>
      <c r="M101" s="78"/>
      <c r="N101" s="78"/>
    </row>
    <row r="105" spans="1:36" ht="78" customHeight="1">
      <c r="A105" s="82" t="s">
        <v>44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</row>
    <row r="106" spans="1:36" ht="31.5" customHeight="1">
      <c r="A106" s="83" t="s">
        <v>45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</row>
    <row r="107" spans="1:36" ht="30" customHeight="1">
      <c r="A107" s="38" t="s">
        <v>46</v>
      </c>
      <c r="B107" s="84"/>
      <c r="C107" s="84"/>
      <c r="D107" s="84"/>
      <c r="F107" s="85" t="s">
        <v>47</v>
      </c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</row>
    <row r="109" spans="1:36" ht="30" customHeight="1">
      <c r="A109" s="86" t="s">
        <v>48</v>
      </c>
      <c r="B109" s="86" t="s">
        <v>49</v>
      </c>
      <c r="C109" s="86"/>
      <c r="D109" s="86"/>
      <c r="E109" s="87" t="s">
        <v>50</v>
      </c>
      <c r="F109" s="87"/>
      <c r="G109" s="87"/>
      <c r="H109" s="88" t="s">
        <v>51</v>
      </c>
      <c r="I109" s="88"/>
      <c r="J109" s="88"/>
      <c r="K109" s="89" t="s">
        <v>52</v>
      </c>
      <c r="L109" s="89"/>
      <c r="M109" s="89"/>
      <c r="N109" s="90" t="s">
        <v>53</v>
      </c>
      <c r="O109" s="90"/>
      <c r="P109" s="90"/>
      <c r="Q109" s="91" t="s">
        <v>54</v>
      </c>
      <c r="R109" s="91"/>
      <c r="S109" s="91"/>
      <c r="T109" s="92" t="s">
        <v>55</v>
      </c>
      <c r="U109" s="92"/>
      <c r="V109" s="92"/>
      <c r="W109" s="93" t="s">
        <v>56</v>
      </c>
      <c r="X109" s="93"/>
      <c r="Y109" s="93"/>
      <c r="Z109" s="94" t="s">
        <v>57</v>
      </c>
      <c r="AA109" s="94"/>
      <c r="AB109" s="94"/>
      <c r="AC109" s="95" t="s">
        <v>58</v>
      </c>
      <c r="AD109" s="96" t="s">
        <v>59</v>
      </c>
      <c r="AE109" s="96" t="s">
        <v>12</v>
      </c>
      <c r="AF109" s="97" t="s">
        <v>60</v>
      </c>
      <c r="AG109" s="97"/>
      <c r="AH109" s="97"/>
      <c r="AI109" s="97"/>
      <c r="AJ109" s="97"/>
    </row>
    <row r="110" spans="1:36" ht="18" customHeight="1">
      <c r="A110" s="86"/>
      <c r="B110" s="39" t="s">
        <v>61</v>
      </c>
      <c r="C110" s="39" t="s">
        <v>62</v>
      </c>
      <c r="D110" s="39" t="s">
        <v>63</v>
      </c>
      <c r="E110" s="39" t="s">
        <v>61</v>
      </c>
      <c r="F110" s="39" t="s">
        <v>62</v>
      </c>
      <c r="G110" s="39" t="s">
        <v>63</v>
      </c>
      <c r="H110" s="39" t="s">
        <v>61</v>
      </c>
      <c r="I110" s="39" t="s">
        <v>62</v>
      </c>
      <c r="J110" s="39" t="s">
        <v>63</v>
      </c>
      <c r="K110" s="39" t="s">
        <v>61</v>
      </c>
      <c r="L110" s="39" t="s">
        <v>62</v>
      </c>
      <c r="M110" s="39" t="s">
        <v>63</v>
      </c>
      <c r="N110" s="39" t="s">
        <v>61</v>
      </c>
      <c r="O110" s="39" t="s">
        <v>62</v>
      </c>
      <c r="P110" s="39" t="s">
        <v>63</v>
      </c>
      <c r="Q110" s="39" t="s">
        <v>61</v>
      </c>
      <c r="R110" s="39" t="s">
        <v>62</v>
      </c>
      <c r="S110" s="39" t="s">
        <v>63</v>
      </c>
      <c r="T110" s="39" t="s">
        <v>61</v>
      </c>
      <c r="U110" s="39" t="s">
        <v>62</v>
      </c>
      <c r="V110" s="39" t="s">
        <v>63</v>
      </c>
      <c r="W110" s="39" t="s">
        <v>61</v>
      </c>
      <c r="X110" s="39" t="s">
        <v>62</v>
      </c>
      <c r="Y110" s="39" t="s">
        <v>63</v>
      </c>
      <c r="Z110" s="39" t="s">
        <v>61</v>
      </c>
      <c r="AA110" s="39" t="s">
        <v>62</v>
      </c>
      <c r="AB110" s="39" t="s">
        <v>63</v>
      </c>
      <c r="AC110" s="95"/>
      <c r="AD110" s="95"/>
      <c r="AE110" s="95"/>
      <c r="AF110" s="97"/>
      <c r="AG110" s="97"/>
      <c r="AH110" s="97"/>
      <c r="AI110" s="97"/>
      <c r="AJ110" s="97"/>
    </row>
    <row r="111" spans="1:36" ht="18" customHeight="1">
      <c r="A111" s="40"/>
      <c r="B111" s="41"/>
      <c r="C111" s="41"/>
      <c r="D111" s="108" t="str">
        <f t="shared" ref="D111:D120" si="6">IFERROR((C111-B111)/B111,"")</f>
        <v/>
      </c>
      <c r="E111" s="41"/>
      <c r="F111" s="41"/>
      <c r="G111" s="108" t="str">
        <f t="shared" ref="G111:G125" si="7">IFERROR((F111-E111)/ABS(E111),"")</f>
        <v/>
      </c>
      <c r="H111" s="41"/>
      <c r="I111" s="41"/>
      <c r="J111" s="108" t="str">
        <f t="shared" ref="J111:J125" si="8">IFERROR((I111-H111)/H111,"")</f>
        <v/>
      </c>
      <c r="K111" s="43"/>
      <c r="L111" s="43"/>
      <c r="M111" s="108" t="str">
        <f t="shared" ref="M111:M120" si="9">IFERROR((L111-K111)/K111,"")</f>
        <v/>
      </c>
      <c r="N111" s="43"/>
      <c r="O111" s="43"/>
      <c r="P111" s="108" t="str">
        <f t="shared" ref="P111:P120" si="10">IFERROR((O111-N111)/N111,"")</f>
        <v/>
      </c>
      <c r="Q111" s="43"/>
      <c r="R111" s="43"/>
      <c r="S111" s="108" t="str">
        <f t="shared" ref="S111:S120" si="11">IFERROR((R111-Q111)/Q111,"")</f>
        <v/>
      </c>
      <c r="T111" s="41"/>
      <c r="U111" s="41"/>
      <c r="V111" s="110" t="str">
        <f t="shared" ref="V111:V120" si="12">IFERROR((U111-T111)/T111,"")</f>
        <v/>
      </c>
      <c r="W111" s="44"/>
      <c r="X111" s="44"/>
      <c r="Y111" s="110" t="str">
        <f t="shared" ref="Y111:Y120" si="13">IFERROR((X111-W111)/W111,"")</f>
        <v/>
      </c>
      <c r="Z111" s="45"/>
      <c r="AA111" s="45"/>
      <c r="AB111" s="110" t="str">
        <f t="shared" ref="AB111:AB120" si="14">IFERROR((AA111-Z111)/Z111,"")</f>
        <v/>
      </c>
      <c r="AC111" s="43"/>
      <c r="AD111" s="46"/>
      <c r="AE111" s="47"/>
      <c r="AF111" s="98"/>
      <c r="AG111" s="98"/>
      <c r="AH111" s="98"/>
      <c r="AI111" s="98"/>
      <c r="AJ111" s="98"/>
    </row>
    <row r="112" spans="1:36" ht="18" customHeight="1">
      <c r="A112" s="48"/>
      <c r="B112" s="41"/>
      <c r="C112" s="41"/>
      <c r="D112" s="109" t="str">
        <f t="shared" si="6"/>
        <v/>
      </c>
      <c r="E112" s="41"/>
      <c r="F112" s="41"/>
      <c r="G112" s="108" t="str">
        <f t="shared" si="7"/>
        <v/>
      </c>
      <c r="H112" s="41"/>
      <c r="I112" s="41"/>
      <c r="J112" s="109" t="str">
        <f t="shared" si="8"/>
        <v/>
      </c>
      <c r="K112" s="43"/>
      <c r="L112" s="43"/>
      <c r="M112" s="109" t="str">
        <f t="shared" si="9"/>
        <v/>
      </c>
      <c r="N112" s="43"/>
      <c r="O112" s="43"/>
      <c r="P112" s="109" t="str">
        <f t="shared" si="10"/>
        <v/>
      </c>
      <c r="Q112" s="43"/>
      <c r="R112" s="43"/>
      <c r="S112" s="109" t="str">
        <f t="shared" si="11"/>
        <v/>
      </c>
      <c r="T112" s="41"/>
      <c r="U112" s="41"/>
      <c r="V112" s="110" t="str">
        <f t="shared" si="12"/>
        <v/>
      </c>
      <c r="W112" s="44"/>
      <c r="X112" s="44"/>
      <c r="Y112" s="110" t="str">
        <f t="shared" si="13"/>
        <v/>
      </c>
      <c r="Z112" s="45"/>
      <c r="AA112" s="45"/>
      <c r="AB112" s="110" t="str">
        <f t="shared" si="14"/>
        <v/>
      </c>
      <c r="AC112" s="43"/>
      <c r="AD112" s="46"/>
      <c r="AE112" s="47"/>
      <c r="AF112" s="98"/>
      <c r="AG112" s="98"/>
      <c r="AH112" s="98"/>
      <c r="AI112" s="98"/>
      <c r="AJ112" s="98"/>
    </row>
    <row r="113" spans="1:36" ht="18" customHeight="1">
      <c r="A113" s="40"/>
      <c r="B113" s="41"/>
      <c r="C113" s="41"/>
      <c r="D113" s="108" t="str">
        <f t="shared" si="6"/>
        <v/>
      </c>
      <c r="E113" s="41"/>
      <c r="F113" s="41"/>
      <c r="G113" s="108" t="str">
        <f t="shared" si="7"/>
        <v/>
      </c>
      <c r="H113" s="41"/>
      <c r="I113" s="41"/>
      <c r="J113" s="108" t="str">
        <f t="shared" si="8"/>
        <v/>
      </c>
      <c r="K113" s="43"/>
      <c r="L113" s="43"/>
      <c r="M113" s="108" t="str">
        <f t="shared" si="9"/>
        <v/>
      </c>
      <c r="N113" s="43"/>
      <c r="O113" s="43"/>
      <c r="P113" s="108" t="str">
        <f t="shared" si="10"/>
        <v/>
      </c>
      <c r="Q113" s="43"/>
      <c r="R113" s="43"/>
      <c r="S113" s="108" t="str">
        <f t="shared" si="11"/>
        <v/>
      </c>
      <c r="T113" s="41"/>
      <c r="U113" s="41"/>
      <c r="V113" s="110" t="str">
        <f t="shared" si="12"/>
        <v/>
      </c>
      <c r="W113" s="44"/>
      <c r="X113" s="44"/>
      <c r="Y113" s="110" t="str">
        <f t="shared" si="13"/>
        <v/>
      </c>
      <c r="Z113" s="45"/>
      <c r="AA113" s="45"/>
      <c r="AB113" s="110" t="str">
        <f t="shared" si="14"/>
        <v/>
      </c>
      <c r="AC113" s="43"/>
      <c r="AD113" s="46"/>
      <c r="AE113" s="47"/>
      <c r="AF113" s="98"/>
      <c r="AG113" s="98"/>
      <c r="AH113" s="98"/>
      <c r="AI113" s="98"/>
      <c r="AJ113" s="98"/>
    </row>
    <row r="114" spans="1:36" ht="18" customHeight="1">
      <c r="A114" s="48"/>
      <c r="B114" s="41"/>
      <c r="C114" s="41"/>
      <c r="D114" s="109" t="str">
        <f t="shared" si="6"/>
        <v/>
      </c>
      <c r="E114" s="41"/>
      <c r="F114" s="41"/>
      <c r="G114" s="108" t="str">
        <f t="shared" si="7"/>
        <v/>
      </c>
      <c r="H114" s="41"/>
      <c r="I114" s="41"/>
      <c r="J114" s="109" t="str">
        <f t="shared" si="8"/>
        <v/>
      </c>
      <c r="K114" s="43"/>
      <c r="L114" s="43"/>
      <c r="M114" s="109" t="str">
        <f t="shared" si="9"/>
        <v/>
      </c>
      <c r="N114" s="43"/>
      <c r="O114" s="43"/>
      <c r="P114" s="109" t="str">
        <f t="shared" si="10"/>
        <v/>
      </c>
      <c r="Q114" s="43"/>
      <c r="R114" s="43"/>
      <c r="S114" s="109" t="str">
        <f t="shared" si="11"/>
        <v/>
      </c>
      <c r="T114" s="41"/>
      <c r="U114" s="41"/>
      <c r="V114" s="110" t="str">
        <f t="shared" si="12"/>
        <v/>
      </c>
      <c r="W114" s="44"/>
      <c r="X114" s="44"/>
      <c r="Y114" s="110" t="str">
        <f t="shared" si="13"/>
        <v/>
      </c>
      <c r="Z114" s="45"/>
      <c r="AA114" s="45"/>
      <c r="AB114" s="110" t="str">
        <f t="shared" si="14"/>
        <v/>
      </c>
      <c r="AC114" s="43"/>
      <c r="AD114" s="46"/>
      <c r="AE114" s="47"/>
      <c r="AF114" s="98"/>
      <c r="AG114" s="98"/>
      <c r="AH114" s="98"/>
      <c r="AI114" s="98"/>
      <c r="AJ114" s="98"/>
    </row>
    <row r="115" spans="1:36" ht="18" customHeight="1">
      <c r="A115" s="40"/>
      <c r="B115" s="41"/>
      <c r="C115" s="41"/>
      <c r="D115" s="108" t="str">
        <f t="shared" si="6"/>
        <v/>
      </c>
      <c r="E115" s="41"/>
      <c r="F115" s="41"/>
      <c r="G115" s="108" t="str">
        <f t="shared" si="7"/>
        <v/>
      </c>
      <c r="H115" s="41"/>
      <c r="I115" s="41"/>
      <c r="J115" s="108" t="str">
        <f t="shared" si="8"/>
        <v/>
      </c>
      <c r="K115" s="43"/>
      <c r="L115" s="43"/>
      <c r="M115" s="108" t="str">
        <f t="shared" si="9"/>
        <v/>
      </c>
      <c r="N115" s="43"/>
      <c r="O115" s="43"/>
      <c r="P115" s="108" t="str">
        <f t="shared" si="10"/>
        <v/>
      </c>
      <c r="Q115" s="43"/>
      <c r="R115" s="43"/>
      <c r="S115" s="108" t="str">
        <f t="shared" si="11"/>
        <v/>
      </c>
      <c r="T115" s="41"/>
      <c r="U115" s="41"/>
      <c r="V115" s="110" t="str">
        <f t="shared" si="12"/>
        <v/>
      </c>
      <c r="W115" s="44"/>
      <c r="X115" s="44"/>
      <c r="Y115" s="110" t="str">
        <f t="shared" si="13"/>
        <v/>
      </c>
      <c r="Z115" s="45"/>
      <c r="AA115" s="45"/>
      <c r="AB115" s="110" t="str">
        <f t="shared" si="14"/>
        <v/>
      </c>
      <c r="AC115" s="43"/>
      <c r="AD115" s="46"/>
      <c r="AE115" s="47"/>
      <c r="AF115" s="98"/>
      <c r="AG115" s="98"/>
      <c r="AH115" s="98"/>
      <c r="AI115" s="98"/>
      <c r="AJ115" s="98"/>
    </row>
    <row r="116" spans="1:36" ht="18" customHeight="1">
      <c r="A116" s="48"/>
      <c r="B116" s="41"/>
      <c r="C116" s="41"/>
      <c r="D116" s="109" t="str">
        <f t="shared" si="6"/>
        <v/>
      </c>
      <c r="E116" s="41"/>
      <c r="F116" s="41"/>
      <c r="G116" s="108" t="str">
        <f t="shared" si="7"/>
        <v/>
      </c>
      <c r="H116" s="41"/>
      <c r="I116" s="41"/>
      <c r="J116" s="109" t="str">
        <f t="shared" si="8"/>
        <v/>
      </c>
      <c r="K116" s="43"/>
      <c r="L116" s="43"/>
      <c r="M116" s="109" t="str">
        <f t="shared" si="9"/>
        <v/>
      </c>
      <c r="N116" s="43"/>
      <c r="O116" s="43"/>
      <c r="P116" s="109" t="str">
        <f t="shared" si="10"/>
        <v/>
      </c>
      <c r="Q116" s="43"/>
      <c r="R116" s="43"/>
      <c r="S116" s="109" t="str">
        <f t="shared" si="11"/>
        <v/>
      </c>
      <c r="T116" s="41"/>
      <c r="U116" s="41"/>
      <c r="V116" s="110" t="str">
        <f t="shared" si="12"/>
        <v/>
      </c>
      <c r="W116" s="44"/>
      <c r="X116" s="44"/>
      <c r="Y116" s="110" t="str">
        <f t="shared" si="13"/>
        <v/>
      </c>
      <c r="Z116" s="45"/>
      <c r="AA116" s="45"/>
      <c r="AB116" s="110" t="str">
        <f t="shared" si="14"/>
        <v/>
      </c>
      <c r="AC116" s="43"/>
      <c r="AD116" s="46"/>
      <c r="AE116" s="47"/>
      <c r="AF116" s="98"/>
      <c r="AG116" s="98"/>
      <c r="AH116" s="98"/>
      <c r="AI116" s="98"/>
      <c r="AJ116" s="98"/>
    </row>
    <row r="117" spans="1:36" ht="18" customHeight="1">
      <c r="A117" s="40"/>
      <c r="B117" s="41"/>
      <c r="C117" s="41"/>
      <c r="D117" s="108" t="str">
        <f t="shared" si="6"/>
        <v/>
      </c>
      <c r="E117" s="41"/>
      <c r="F117" s="41"/>
      <c r="G117" s="108" t="str">
        <f t="shared" si="7"/>
        <v/>
      </c>
      <c r="H117" s="41"/>
      <c r="I117" s="41"/>
      <c r="J117" s="108" t="str">
        <f t="shared" si="8"/>
        <v/>
      </c>
      <c r="K117" s="43"/>
      <c r="L117" s="43"/>
      <c r="M117" s="108" t="str">
        <f t="shared" si="9"/>
        <v/>
      </c>
      <c r="N117" s="43"/>
      <c r="O117" s="43"/>
      <c r="P117" s="108" t="str">
        <f t="shared" si="10"/>
        <v/>
      </c>
      <c r="Q117" s="43"/>
      <c r="R117" s="43"/>
      <c r="S117" s="108" t="str">
        <f t="shared" si="11"/>
        <v/>
      </c>
      <c r="T117" s="41"/>
      <c r="U117" s="41"/>
      <c r="V117" s="110" t="str">
        <f t="shared" si="12"/>
        <v/>
      </c>
      <c r="W117" s="44"/>
      <c r="X117" s="44"/>
      <c r="Y117" s="110" t="str">
        <f t="shared" si="13"/>
        <v/>
      </c>
      <c r="Z117" s="45"/>
      <c r="AA117" s="45"/>
      <c r="AB117" s="110" t="str">
        <f t="shared" si="14"/>
        <v/>
      </c>
      <c r="AC117" s="43"/>
      <c r="AD117" s="46"/>
      <c r="AE117" s="47"/>
      <c r="AF117" s="98"/>
      <c r="AG117" s="98"/>
      <c r="AH117" s="98"/>
      <c r="AI117" s="98"/>
      <c r="AJ117" s="98"/>
    </row>
    <row r="118" spans="1:36" ht="17.25" customHeight="1">
      <c r="A118" s="48"/>
      <c r="B118" s="41"/>
      <c r="C118" s="41"/>
      <c r="D118" s="109" t="str">
        <f t="shared" si="6"/>
        <v/>
      </c>
      <c r="E118" s="41"/>
      <c r="F118" s="41"/>
      <c r="G118" s="108" t="str">
        <f t="shared" si="7"/>
        <v/>
      </c>
      <c r="H118" s="41"/>
      <c r="I118" s="41"/>
      <c r="J118" s="109" t="str">
        <f t="shared" si="8"/>
        <v/>
      </c>
      <c r="K118" s="43"/>
      <c r="L118" s="43"/>
      <c r="M118" s="109" t="str">
        <f t="shared" si="9"/>
        <v/>
      </c>
      <c r="N118" s="43"/>
      <c r="O118" s="43"/>
      <c r="P118" s="109" t="str">
        <f t="shared" si="10"/>
        <v/>
      </c>
      <c r="Q118" s="43"/>
      <c r="R118" s="43"/>
      <c r="S118" s="109" t="str">
        <f t="shared" si="11"/>
        <v/>
      </c>
      <c r="T118" s="41"/>
      <c r="U118" s="41"/>
      <c r="V118" s="110" t="str">
        <f t="shared" si="12"/>
        <v/>
      </c>
      <c r="W118" s="44"/>
      <c r="X118" s="44"/>
      <c r="Y118" s="110" t="str">
        <f t="shared" si="13"/>
        <v/>
      </c>
      <c r="Z118" s="45"/>
      <c r="AA118" s="45"/>
      <c r="AB118" s="110" t="str">
        <f t="shared" si="14"/>
        <v/>
      </c>
      <c r="AC118" s="43"/>
      <c r="AD118" s="46"/>
      <c r="AE118" s="47"/>
      <c r="AF118" s="98"/>
      <c r="AG118" s="98"/>
      <c r="AH118" s="98"/>
      <c r="AI118" s="98"/>
      <c r="AJ118" s="98"/>
    </row>
    <row r="119" spans="1:36" ht="18" customHeight="1">
      <c r="A119" s="40"/>
      <c r="B119" s="41"/>
      <c r="C119" s="41"/>
      <c r="D119" s="108" t="str">
        <f t="shared" si="6"/>
        <v/>
      </c>
      <c r="E119" s="41"/>
      <c r="F119" s="41"/>
      <c r="G119" s="108" t="str">
        <f t="shared" si="7"/>
        <v/>
      </c>
      <c r="H119" s="41"/>
      <c r="I119" s="41"/>
      <c r="J119" s="108" t="str">
        <f t="shared" si="8"/>
        <v/>
      </c>
      <c r="K119" s="43"/>
      <c r="L119" s="43"/>
      <c r="M119" s="108" t="str">
        <f t="shared" si="9"/>
        <v/>
      </c>
      <c r="N119" s="43"/>
      <c r="O119" s="43"/>
      <c r="P119" s="108" t="str">
        <f t="shared" si="10"/>
        <v/>
      </c>
      <c r="Q119" s="43"/>
      <c r="R119" s="43"/>
      <c r="S119" s="108" t="str">
        <f t="shared" si="11"/>
        <v/>
      </c>
      <c r="T119" s="41"/>
      <c r="U119" s="41"/>
      <c r="V119" s="110" t="str">
        <f t="shared" si="12"/>
        <v/>
      </c>
      <c r="W119" s="44"/>
      <c r="X119" s="44"/>
      <c r="Y119" s="110" t="str">
        <f t="shared" si="13"/>
        <v/>
      </c>
      <c r="Z119" s="45"/>
      <c r="AA119" s="45"/>
      <c r="AB119" s="110" t="str">
        <f t="shared" si="14"/>
        <v/>
      </c>
      <c r="AC119" s="43"/>
      <c r="AD119" s="46"/>
      <c r="AE119" s="47"/>
      <c r="AF119" s="98"/>
      <c r="AG119" s="98"/>
      <c r="AH119" s="98"/>
      <c r="AI119" s="98"/>
      <c r="AJ119" s="98"/>
    </row>
    <row r="120" spans="1:36" ht="18" customHeight="1">
      <c r="A120" s="48"/>
      <c r="B120" s="41"/>
      <c r="C120" s="41"/>
      <c r="D120" s="109" t="str">
        <f t="shared" si="6"/>
        <v/>
      </c>
      <c r="E120" s="41"/>
      <c r="F120" s="41"/>
      <c r="G120" s="109" t="str">
        <f t="shared" si="7"/>
        <v/>
      </c>
      <c r="H120" s="41"/>
      <c r="I120" s="41"/>
      <c r="J120" s="108" t="str">
        <f t="shared" si="8"/>
        <v/>
      </c>
      <c r="K120" s="43"/>
      <c r="L120" s="43"/>
      <c r="M120" s="109" t="str">
        <f t="shared" si="9"/>
        <v/>
      </c>
      <c r="N120" s="43"/>
      <c r="O120" s="43"/>
      <c r="P120" s="109" t="str">
        <f t="shared" si="10"/>
        <v/>
      </c>
      <c r="Q120" s="43"/>
      <c r="R120" s="43"/>
      <c r="S120" s="109" t="str">
        <f t="shared" si="11"/>
        <v/>
      </c>
      <c r="T120" s="41"/>
      <c r="U120" s="41"/>
      <c r="V120" s="110" t="str">
        <f t="shared" si="12"/>
        <v/>
      </c>
      <c r="W120" s="44"/>
      <c r="X120" s="44"/>
      <c r="Y120" s="110" t="str">
        <f t="shared" si="13"/>
        <v/>
      </c>
      <c r="Z120" s="45"/>
      <c r="AA120" s="45"/>
      <c r="AB120" s="110" t="str">
        <f t="shared" si="14"/>
        <v/>
      </c>
      <c r="AC120" s="43">
        <v>0</v>
      </c>
      <c r="AD120" s="46"/>
      <c r="AE120" s="47"/>
      <c r="AF120" s="98"/>
      <c r="AG120" s="98"/>
      <c r="AH120" s="98"/>
      <c r="AI120" s="98"/>
      <c r="AJ120" s="98"/>
    </row>
    <row r="121" spans="1:36" ht="18" customHeight="1">
      <c r="A121" s="40"/>
      <c r="B121" s="41"/>
      <c r="C121" s="41"/>
      <c r="D121" s="108"/>
      <c r="E121" s="41"/>
      <c r="F121" s="41"/>
      <c r="G121" s="109" t="str">
        <f t="shared" si="7"/>
        <v/>
      </c>
      <c r="H121" s="41"/>
      <c r="I121" s="41"/>
      <c r="J121" s="108" t="str">
        <f t="shared" si="8"/>
        <v/>
      </c>
      <c r="K121" s="43"/>
      <c r="L121" s="43"/>
      <c r="M121" s="108"/>
      <c r="N121" s="43"/>
      <c r="O121" s="43"/>
      <c r="P121" s="108"/>
      <c r="Q121" s="43"/>
      <c r="R121" s="43"/>
      <c r="S121" s="108"/>
      <c r="T121" s="41"/>
      <c r="U121" s="41"/>
      <c r="V121" s="110"/>
      <c r="W121" s="44"/>
      <c r="X121" s="44"/>
      <c r="Y121" s="110"/>
      <c r="Z121" s="45"/>
      <c r="AA121" s="45"/>
      <c r="AB121" s="110"/>
      <c r="AC121" s="43"/>
      <c r="AD121" s="46"/>
      <c r="AE121" s="47"/>
      <c r="AF121" s="98"/>
      <c r="AG121" s="98"/>
      <c r="AH121" s="98"/>
      <c r="AI121" s="98"/>
      <c r="AJ121" s="98"/>
    </row>
    <row r="122" spans="1:36" ht="18" hidden="1" customHeight="1">
      <c r="A122" s="48"/>
      <c r="B122" s="50"/>
      <c r="C122" s="50"/>
      <c r="D122" s="49" t="str">
        <f>IFERROR((C122-B122)/B122,"")</f>
        <v/>
      </c>
      <c r="E122" s="50"/>
      <c r="F122" s="50"/>
      <c r="G122" s="49" t="str">
        <f t="shared" si="7"/>
        <v/>
      </c>
      <c r="H122" s="50"/>
      <c r="I122" s="50"/>
      <c r="J122" s="49" t="str">
        <f t="shared" si="8"/>
        <v/>
      </c>
      <c r="K122" s="51"/>
      <c r="L122" s="51"/>
      <c r="M122" s="49" t="str">
        <f>IFERROR((L122-K122)/K122,"")</f>
        <v/>
      </c>
      <c r="N122" s="51"/>
      <c r="O122" s="51"/>
      <c r="P122" s="49" t="str">
        <f>IFERROR((O122-N122)/N122,"")</f>
        <v/>
      </c>
      <c r="Q122" s="51"/>
      <c r="R122" s="51"/>
      <c r="S122" s="49" t="str">
        <f>IFERROR((R122-Q122)/Q122,"")</f>
        <v/>
      </c>
      <c r="T122" s="41"/>
      <c r="U122" s="41"/>
      <c r="V122" s="107" t="e">
        <f t="shared" ref="V112:V125" si="15">(U122-T122)/T122</f>
        <v>#DIV/0!</v>
      </c>
      <c r="W122" s="52"/>
      <c r="X122" s="52"/>
      <c r="Y122" s="107" t="e">
        <f t="shared" ref="Y112:Y125" si="16">(X122-W122)/W122</f>
        <v>#DIV/0!</v>
      </c>
      <c r="Z122" s="53"/>
      <c r="AA122" s="53"/>
      <c r="AB122" s="107" t="e">
        <f t="shared" ref="AB112:AB125" si="17">(AA122-Z122)/Z122</f>
        <v>#DIV/0!</v>
      </c>
      <c r="AC122" s="51"/>
      <c r="AD122" s="46"/>
      <c r="AE122" s="47"/>
      <c r="AF122" s="98"/>
      <c r="AG122" s="98"/>
      <c r="AH122" s="98"/>
      <c r="AI122" s="98"/>
      <c r="AJ122" s="98"/>
    </row>
    <row r="123" spans="1:36" ht="18" hidden="1" customHeight="1">
      <c r="A123" s="40"/>
      <c r="B123" s="51"/>
      <c r="C123" s="50"/>
      <c r="D123" s="42" t="str">
        <f>IFERROR((C123-B123)/B123,"")</f>
        <v/>
      </c>
      <c r="E123" s="50"/>
      <c r="F123" s="50"/>
      <c r="G123" s="42" t="str">
        <f t="shared" si="7"/>
        <v/>
      </c>
      <c r="H123" s="50"/>
      <c r="I123" s="50"/>
      <c r="J123" s="42" t="str">
        <f t="shared" si="8"/>
        <v/>
      </c>
      <c r="K123" s="51"/>
      <c r="L123" s="51"/>
      <c r="M123" s="42" t="str">
        <f>IFERROR((L123-K123)/K123,"")</f>
        <v/>
      </c>
      <c r="N123" s="51"/>
      <c r="O123" s="51"/>
      <c r="P123" s="42" t="str">
        <f>IFERROR((O123-N123)/N123,"")</f>
        <v/>
      </c>
      <c r="Q123" s="51"/>
      <c r="R123" s="51"/>
      <c r="S123" s="42" t="str">
        <f>IFERROR((R123-Q123)/Q123,"")</f>
        <v/>
      </c>
      <c r="T123" s="41"/>
      <c r="U123" s="41"/>
      <c r="V123" s="107" t="e">
        <f t="shared" si="15"/>
        <v>#DIV/0!</v>
      </c>
      <c r="W123" s="52"/>
      <c r="X123" s="52"/>
      <c r="Y123" s="107" t="e">
        <f t="shared" si="16"/>
        <v>#DIV/0!</v>
      </c>
      <c r="Z123" s="53"/>
      <c r="AA123" s="53"/>
      <c r="AB123" s="107" t="e">
        <f t="shared" si="17"/>
        <v>#DIV/0!</v>
      </c>
      <c r="AC123" s="51"/>
      <c r="AD123" s="46"/>
      <c r="AE123" s="47"/>
      <c r="AF123" s="98"/>
      <c r="AG123" s="98"/>
      <c r="AH123" s="98"/>
      <c r="AI123" s="98"/>
      <c r="AJ123" s="98"/>
    </row>
    <row r="124" spans="1:36" ht="18" hidden="1" customHeight="1">
      <c r="A124" s="48"/>
      <c r="B124" s="51"/>
      <c r="C124" s="51"/>
      <c r="D124" s="49" t="str">
        <f>IFERROR((C124-B124)/B124,"")</f>
        <v/>
      </c>
      <c r="E124" s="50"/>
      <c r="F124" s="50"/>
      <c r="G124" s="49" t="str">
        <f t="shared" si="7"/>
        <v/>
      </c>
      <c r="H124" s="50"/>
      <c r="I124" s="50"/>
      <c r="J124" s="49" t="str">
        <f t="shared" si="8"/>
        <v/>
      </c>
      <c r="K124" s="51"/>
      <c r="L124" s="51"/>
      <c r="M124" s="49" t="str">
        <f>IFERROR((L124-K124)/K124,"")</f>
        <v/>
      </c>
      <c r="N124" s="51"/>
      <c r="O124" s="51"/>
      <c r="P124" s="49" t="str">
        <f>IFERROR((O124-N124)/N124,"")</f>
        <v/>
      </c>
      <c r="Q124" s="51"/>
      <c r="R124" s="51"/>
      <c r="S124" s="49" t="str">
        <f>IFERROR((R124-Q124)/Q124,"")</f>
        <v/>
      </c>
      <c r="T124" s="41"/>
      <c r="U124" s="41"/>
      <c r="V124" s="107" t="e">
        <f t="shared" si="15"/>
        <v>#DIV/0!</v>
      </c>
      <c r="W124" s="52"/>
      <c r="X124" s="52"/>
      <c r="Y124" s="107" t="e">
        <f t="shared" si="16"/>
        <v>#DIV/0!</v>
      </c>
      <c r="Z124" s="53"/>
      <c r="AA124" s="53"/>
      <c r="AB124" s="107" t="e">
        <f t="shared" si="17"/>
        <v>#DIV/0!</v>
      </c>
      <c r="AC124" s="51"/>
      <c r="AD124" s="54"/>
      <c r="AE124" s="47"/>
      <c r="AF124" s="98"/>
      <c r="AG124" s="98"/>
      <c r="AH124" s="98"/>
      <c r="AI124" s="98"/>
      <c r="AJ124" s="98"/>
    </row>
    <row r="125" spans="1:36" ht="18" hidden="1" customHeight="1">
      <c r="A125" s="40"/>
      <c r="B125" s="51"/>
      <c r="C125" s="51"/>
      <c r="D125" s="42" t="str">
        <f>IFERROR((C125-B125)/B125,"")</f>
        <v/>
      </c>
      <c r="E125" s="50"/>
      <c r="F125" s="50"/>
      <c r="G125" s="42" t="str">
        <f t="shared" si="7"/>
        <v/>
      </c>
      <c r="H125" s="50"/>
      <c r="I125" s="50"/>
      <c r="J125" s="42" t="str">
        <f t="shared" si="8"/>
        <v/>
      </c>
      <c r="K125" s="51"/>
      <c r="L125" s="51"/>
      <c r="M125" s="42" t="str">
        <f>IFERROR((L125-K125)/K125,"")</f>
        <v/>
      </c>
      <c r="N125" s="51"/>
      <c r="O125" s="51"/>
      <c r="P125" s="42" t="str">
        <f>IFERROR((O125-N125)/N125,"")</f>
        <v/>
      </c>
      <c r="Q125" s="51"/>
      <c r="R125" s="51"/>
      <c r="S125" s="42" t="str">
        <f>IFERROR((R125-Q125)/Q125,"")</f>
        <v/>
      </c>
      <c r="T125" s="41"/>
      <c r="U125" s="41"/>
      <c r="V125" s="107" t="e">
        <f t="shared" si="15"/>
        <v>#DIV/0!</v>
      </c>
      <c r="W125" s="52"/>
      <c r="X125" s="52"/>
      <c r="Y125" s="107" t="e">
        <f t="shared" si="16"/>
        <v>#DIV/0!</v>
      </c>
      <c r="Z125" s="51"/>
      <c r="AA125" s="51"/>
      <c r="AB125" s="107" t="e">
        <f t="shared" si="17"/>
        <v>#DIV/0!</v>
      </c>
      <c r="AC125" s="51"/>
      <c r="AD125" s="47"/>
      <c r="AE125" s="47"/>
      <c r="AF125" s="98"/>
      <c r="AG125" s="98"/>
      <c r="AH125" s="98"/>
      <c r="AI125" s="98"/>
      <c r="AJ125" s="98"/>
    </row>
    <row r="126" spans="1:36" ht="18" customHeight="1">
      <c r="A126" s="55" t="s">
        <v>64</v>
      </c>
      <c r="B126" s="55"/>
      <c r="C126" s="55"/>
      <c r="D126" s="56" t="str">
        <f>IFERROR(AVERAGE(D111:D125),"")</f>
        <v/>
      </c>
      <c r="E126" s="55"/>
      <c r="F126" s="55"/>
      <c r="G126" s="56" t="str">
        <f>IFERROR(AVERAGE(G111:G125),"")</f>
        <v/>
      </c>
      <c r="H126" s="55"/>
      <c r="I126" s="55"/>
      <c r="J126" s="56" t="str">
        <f>IFERROR(AVERAGE(J111:J125),"")</f>
        <v/>
      </c>
      <c r="K126" s="55"/>
      <c r="L126" s="55"/>
      <c r="M126" s="56" t="str">
        <f>IFERROR(AVERAGE(M111:M125),"")</f>
        <v/>
      </c>
      <c r="N126" s="55"/>
      <c r="O126" s="55"/>
      <c r="P126" s="56" t="str">
        <f>IFERROR(AVERAGE(P111:P125),"")</f>
        <v/>
      </c>
      <c r="Q126" s="55"/>
      <c r="R126" s="55"/>
      <c r="S126" s="56" t="str">
        <f>IFERROR(AVERAGE(S111:S125),"")</f>
        <v/>
      </c>
      <c r="T126" s="57"/>
      <c r="U126" s="57"/>
      <c r="V126" s="56" t="e">
        <f>AVERAGE(V111:V125)</f>
        <v>#DIV/0!</v>
      </c>
      <c r="W126" s="58"/>
      <c r="X126" s="58"/>
      <c r="Y126" s="56" t="str">
        <f>IFERROR(AVERAGE(Y111:Y125),"")</f>
        <v/>
      </c>
      <c r="Z126" s="55"/>
      <c r="AA126" s="55"/>
      <c r="AB126" s="56" t="str">
        <f>IFERROR(AVERAGE(AB111:AB125),"")</f>
        <v/>
      </c>
      <c r="AC126" s="56">
        <f>SUM(AC111:AC125)</f>
        <v>0</v>
      </c>
      <c r="AD126" s="59" t="str">
        <f>IFERROR(AVERAGE(AD111:AD125),"")</f>
        <v/>
      </c>
      <c r="AE126" s="56">
        <f>SUM(AE111:AE125)</f>
        <v>0</v>
      </c>
      <c r="AF126" s="55"/>
    </row>
    <row r="129" spans="1:13" ht="31.5" customHeight="1">
      <c r="A129" s="99" t="s">
        <v>65</v>
      </c>
      <c r="B129" s="99"/>
      <c r="C129" s="99"/>
      <c r="D129" s="99"/>
      <c r="E129" s="99"/>
      <c r="F129" s="99"/>
      <c r="G129" s="99"/>
      <c r="H129" s="99"/>
    </row>
    <row r="130" spans="1:13" ht="30" customHeight="1">
      <c r="A130" s="60" t="s">
        <v>66</v>
      </c>
      <c r="B130" s="100"/>
      <c r="C130" s="100"/>
      <c r="D130" s="100"/>
      <c r="F130" s="101" t="s">
        <v>67</v>
      </c>
      <c r="G130" s="101"/>
      <c r="H130" s="101"/>
    </row>
    <row r="132" spans="1:13" ht="30" customHeight="1">
      <c r="A132" s="102" t="s">
        <v>8</v>
      </c>
      <c r="B132" s="102" t="s">
        <v>49</v>
      </c>
      <c r="C132" s="102" t="s">
        <v>50</v>
      </c>
      <c r="D132" s="102" t="s">
        <v>55</v>
      </c>
      <c r="E132" s="102" t="s">
        <v>68</v>
      </c>
      <c r="F132" s="102" t="s">
        <v>69</v>
      </c>
      <c r="G132" s="102" t="s">
        <v>58</v>
      </c>
      <c r="H132" s="102" t="s">
        <v>12</v>
      </c>
      <c r="I132" s="102" t="s">
        <v>51</v>
      </c>
      <c r="J132" s="102" t="s">
        <v>70</v>
      </c>
      <c r="K132" s="102" t="s">
        <v>53</v>
      </c>
      <c r="L132" s="102" t="s">
        <v>54</v>
      </c>
      <c r="M132" s="102" t="s">
        <v>59</v>
      </c>
    </row>
    <row r="133" spans="1:13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</row>
    <row r="134" spans="1:13" ht="18" customHeight="1">
      <c r="A134" s="27" t="str">
        <f>IF(Aug!A111="","",Aug!A111)</f>
        <v/>
      </c>
      <c r="B134" s="61"/>
      <c r="C134" s="61"/>
      <c r="D134" s="61"/>
      <c r="E134" s="61"/>
      <c r="F134" s="62" t="str">
        <f t="shared" ref="F134:F149" si="18">IFERROR(E134/B134,"")</f>
        <v/>
      </c>
      <c r="G134" s="63"/>
      <c r="H134" s="63"/>
      <c r="I134" s="63"/>
      <c r="J134" s="63"/>
      <c r="K134" s="63"/>
      <c r="L134" s="63"/>
      <c r="M134" s="64"/>
    </row>
    <row r="135" spans="1:13" ht="18" customHeight="1">
      <c r="A135" s="27" t="str">
        <f>IF(Aug!A112="","",Aug!A112)</f>
        <v/>
      </c>
      <c r="B135" s="61"/>
      <c r="C135" s="61"/>
      <c r="D135" s="61"/>
      <c r="E135" s="61"/>
      <c r="F135" s="62" t="str">
        <f t="shared" si="18"/>
        <v/>
      </c>
      <c r="G135" s="63"/>
      <c r="H135" s="63"/>
      <c r="I135" s="63"/>
      <c r="J135" s="63"/>
      <c r="K135" s="63"/>
      <c r="L135" s="63"/>
      <c r="M135" s="64"/>
    </row>
    <row r="136" spans="1:13" ht="18" customHeight="1">
      <c r="A136" s="27" t="str">
        <f>IF(Aug!A113="","",Aug!A113)</f>
        <v/>
      </c>
      <c r="B136" s="61"/>
      <c r="C136" s="61"/>
      <c r="D136" s="61"/>
      <c r="E136" s="61"/>
      <c r="F136" s="62" t="str">
        <f t="shared" si="18"/>
        <v/>
      </c>
      <c r="G136" s="63"/>
      <c r="H136" s="63"/>
      <c r="I136" s="63"/>
      <c r="J136" s="63"/>
      <c r="K136" s="63"/>
      <c r="L136" s="63"/>
      <c r="M136" s="64"/>
    </row>
    <row r="137" spans="1:13" ht="18" customHeight="1">
      <c r="A137" s="27" t="str">
        <f>IF(Aug!A114="","",Aug!A114)</f>
        <v/>
      </c>
      <c r="B137" s="61"/>
      <c r="C137" s="61"/>
      <c r="D137" s="61"/>
      <c r="E137" s="61"/>
      <c r="F137" s="62" t="str">
        <f t="shared" si="18"/>
        <v/>
      </c>
      <c r="G137" s="63"/>
      <c r="H137" s="63"/>
      <c r="I137" s="63"/>
      <c r="J137" s="63"/>
      <c r="K137" s="63"/>
      <c r="L137" s="63"/>
      <c r="M137" s="64"/>
    </row>
    <row r="138" spans="1:13" ht="18" customHeight="1">
      <c r="A138" s="27" t="str">
        <f>IF(Aug!A115="","",Aug!A115)</f>
        <v/>
      </c>
      <c r="B138" s="61"/>
      <c r="C138" s="61"/>
      <c r="D138" s="61"/>
      <c r="E138" s="61"/>
      <c r="F138" s="62" t="str">
        <f t="shared" si="18"/>
        <v/>
      </c>
      <c r="G138" s="63"/>
      <c r="H138" s="63"/>
      <c r="I138" s="63"/>
      <c r="J138" s="63"/>
      <c r="K138" s="63"/>
      <c r="L138" s="63"/>
      <c r="M138" s="64"/>
    </row>
    <row r="139" spans="1:13" ht="18" customHeight="1">
      <c r="A139" s="27" t="str">
        <f>IF(Aug!A116="","",Aug!A116)</f>
        <v/>
      </c>
      <c r="B139" s="61"/>
      <c r="C139" s="61"/>
      <c r="D139" s="61"/>
      <c r="E139" s="61"/>
      <c r="F139" s="62" t="str">
        <f t="shared" si="18"/>
        <v/>
      </c>
      <c r="G139" s="63"/>
      <c r="H139" s="63"/>
      <c r="I139" s="63"/>
      <c r="J139" s="63"/>
      <c r="K139" s="63"/>
      <c r="L139" s="63"/>
      <c r="M139" s="64"/>
    </row>
    <row r="140" spans="1:13" ht="18" customHeight="1">
      <c r="A140" s="27" t="str">
        <f>IF(Aug!A117="","",Aug!A117)</f>
        <v/>
      </c>
      <c r="B140" s="61"/>
      <c r="C140" s="61"/>
      <c r="D140" s="61"/>
      <c r="E140" s="61"/>
      <c r="F140" s="62" t="str">
        <f t="shared" si="18"/>
        <v/>
      </c>
      <c r="G140" s="63"/>
      <c r="H140" s="63"/>
      <c r="I140" s="63"/>
      <c r="J140" s="63"/>
      <c r="K140" s="63"/>
      <c r="L140" s="63"/>
      <c r="M140" s="64"/>
    </row>
    <row r="141" spans="1:13" ht="18" customHeight="1">
      <c r="A141" s="27" t="str">
        <f>IF(Aug!A118="","",Aug!A118)</f>
        <v/>
      </c>
      <c r="B141" s="61"/>
      <c r="C141" s="61"/>
      <c r="D141" s="61"/>
      <c r="E141" s="61"/>
      <c r="F141" s="62" t="str">
        <f t="shared" si="18"/>
        <v/>
      </c>
      <c r="G141" s="63"/>
      <c r="H141" s="63"/>
      <c r="I141" s="63"/>
      <c r="J141" s="63"/>
      <c r="K141" s="63"/>
      <c r="L141" s="63"/>
      <c r="M141" s="64"/>
    </row>
    <row r="142" spans="1:13" ht="18" customHeight="1">
      <c r="A142" s="27" t="str">
        <f>IF(Aug!A119="","",Aug!A119)</f>
        <v/>
      </c>
      <c r="B142" s="61"/>
      <c r="C142" s="61"/>
      <c r="D142" s="61"/>
      <c r="E142" s="61"/>
      <c r="F142" s="62" t="str">
        <f t="shared" si="18"/>
        <v/>
      </c>
      <c r="G142" s="63"/>
      <c r="H142" s="63"/>
      <c r="I142" s="63"/>
      <c r="J142" s="63"/>
      <c r="K142" s="63"/>
      <c r="L142" s="63"/>
      <c r="M142" s="64"/>
    </row>
    <row r="143" spans="1:13" ht="18" customHeight="1">
      <c r="A143" s="27" t="str">
        <f>IF(Aug!A120="","",Aug!A120)</f>
        <v/>
      </c>
      <c r="B143" s="61"/>
      <c r="C143" s="61"/>
      <c r="D143" s="61"/>
      <c r="E143" s="61"/>
      <c r="F143" s="62" t="str">
        <f t="shared" si="18"/>
        <v/>
      </c>
      <c r="G143" s="63"/>
      <c r="H143" s="63"/>
      <c r="I143" s="63"/>
      <c r="J143" s="63"/>
      <c r="K143" s="63"/>
      <c r="L143" s="63"/>
      <c r="M143" s="64"/>
    </row>
    <row r="144" spans="1:13" ht="18" customHeight="1">
      <c r="A144" s="27" t="str">
        <f>IF(Aug!A121="","",Aug!A121)</f>
        <v/>
      </c>
      <c r="B144" s="61"/>
      <c r="C144" s="61"/>
      <c r="D144" s="61"/>
      <c r="E144" s="61"/>
      <c r="F144" s="62" t="str">
        <f t="shared" si="18"/>
        <v/>
      </c>
      <c r="G144" s="63"/>
      <c r="H144" s="63"/>
      <c r="I144" s="63"/>
      <c r="J144" s="63"/>
      <c r="K144" s="63"/>
      <c r="L144" s="63"/>
      <c r="M144" s="64"/>
    </row>
    <row r="145" spans="1:13" ht="18" customHeight="1">
      <c r="A145" s="27" t="str">
        <f>IF(Aug!A122="","",Aug!A122)</f>
        <v/>
      </c>
      <c r="B145" s="61"/>
      <c r="C145" s="61"/>
      <c r="D145" s="61"/>
      <c r="E145" s="61"/>
      <c r="F145" s="62" t="str">
        <f t="shared" si="18"/>
        <v/>
      </c>
      <c r="G145" s="63"/>
      <c r="H145" s="63"/>
      <c r="I145" s="63"/>
      <c r="J145" s="63"/>
      <c r="K145" s="63"/>
      <c r="L145" s="63"/>
      <c r="M145" s="64"/>
    </row>
    <row r="146" spans="1:13" ht="18" customHeight="1">
      <c r="A146" s="27" t="str">
        <f>IF(Aug!A123="","",Aug!A123)</f>
        <v/>
      </c>
      <c r="B146" s="61"/>
      <c r="C146" s="61"/>
      <c r="D146" s="61"/>
      <c r="E146" s="61"/>
      <c r="F146" s="62" t="str">
        <f t="shared" si="18"/>
        <v/>
      </c>
      <c r="G146" s="63"/>
      <c r="H146" s="63"/>
      <c r="I146" s="63"/>
      <c r="J146" s="63"/>
      <c r="K146" s="63"/>
      <c r="L146" s="63"/>
      <c r="M146" s="64"/>
    </row>
    <row r="147" spans="1:13" ht="18" customHeight="1">
      <c r="A147" s="27" t="str">
        <f>IF(Aug!A124="","",Aug!A124)</f>
        <v/>
      </c>
      <c r="B147" s="61"/>
      <c r="C147" s="61"/>
      <c r="D147" s="61"/>
      <c r="E147" s="61"/>
      <c r="F147" s="62" t="str">
        <f t="shared" si="18"/>
        <v/>
      </c>
      <c r="G147" s="63"/>
      <c r="H147" s="63"/>
      <c r="I147" s="63"/>
      <c r="J147" s="63"/>
      <c r="K147" s="63"/>
      <c r="L147" s="63"/>
      <c r="M147" s="64"/>
    </row>
    <row r="148" spans="1:13" ht="14.25" customHeight="1">
      <c r="A148" s="27" t="str">
        <f>IF(Aug!A125="","",Aug!A125)</f>
        <v/>
      </c>
      <c r="B148" s="61"/>
      <c r="C148" s="61"/>
      <c r="D148" s="61"/>
      <c r="E148" s="61"/>
      <c r="F148" s="62" t="str">
        <f t="shared" si="18"/>
        <v/>
      </c>
      <c r="G148" s="63"/>
      <c r="H148" s="63"/>
      <c r="I148" s="63"/>
      <c r="J148" s="63"/>
      <c r="K148" s="63"/>
      <c r="L148" s="63"/>
      <c r="M148" s="64"/>
    </row>
    <row r="149" spans="1:13" ht="14.25" customHeight="1">
      <c r="A149" s="104" t="s">
        <v>64</v>
      </c>
      <c r="B149" s="105">
        <f>SUM(B134:B148)</f>
        <v>0</v>
      </c>
      <c r="C149" s="105">
        <f>SUM(C134:C148)</f>
        <v>0</v>
      </c>
      <c r="D149" s="103" t="e">
        <f>AVERAGE(D134:D148)</f>
        <v>#DIV/0!</v>
      </c>
      <c r="E149" s="103" t="e">
        <f>AVERAGE(E134:E148)</f>
        <v>#DIV/0!</v>
      </c>
      <c r="F149" s="103" t="e">
        <f>AVERAGE(F134:F148)</f>
        <v>#DIV/0!</v>
      </c>
      <c r="G149" s="106">
        <f>SUM(G134:G148)</f>
        <v>0</v>
      </c>
      <c r="H149" s="106">
        <f>SUM(H134:H148)</f>
        <v>0</v>
      </c>
      <c r="I149" s="103" t="e">
        <f>AVERAGE(I134:I148)</f>
        <v>#DIV/0!</v>
      </c>
      <c r="J149" s="103" t="e">
        <f t="shared" ref="J149:M149" si="19">AVERAGE(J134:J148)</f>
        <v>#DIV/0!</v>
      </c>
      <c r="K149" s="103" t="e">
        <f t="shared" si="19"/>
        <v>#DIV/0!</v>
      </c>
      <c r="L149" s="103" t="e">
        <f t="shared" si="19"/>
        <v>#DIV/0!</v>
      </c>
      <c r="M149" s="103" t="e">
        <f t="shared" si="19"/>
        <v>#DIV/0!</v>
      </c>
    </row>
  </sheetData>
  <mergeCells count="144">
    <mergeCell ref="J132:J133"/>
    <mergeCell ref="K132:K133"/>
    <mergeCell ref="L132:L133"/>
    <mergeCell ref="M132:M133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AF120:AJ120"/>
    <mergeCell ref="AF121:AJ121"/>
    <mergeCell ref="AF122:AJ122"/>
    <mergeCell ref="AF123:AJ123"/>
    <mergeCell ref="AF124:AJ124"/>
    <mergeCell ref="AF125:AJ125"/>
    <mergeCell ref="A129:H129"/>
    <mergeCell ref="B130:D130"/>
    <mergeCell ref="F130:H130"/>
    <mergeCell ref="AF111:AJ111"/>
    <mergeCell ref="AF112:AJ112"/>
    <mergeCell ref="AF113:AJ113"/>
    <mergeCell ref="AF114:AJ114"/>
    <mergeCell ref="AF115:AJ115"/>
    <mergeCell ref="AF116:AJ116"/>
    <mergeCell ref="AF117:AJ117"/>
    <mergeCell ref="AF118:AJ118"/>
    <mergeCell ref="AF119:AJ119"/>
    <mergeCell ref="B101:D101"/>
    <mergeCell ref="E101:F101"/>
    <mergeCell ref="I101:J101"/>
    <mergeCell ref="K101:N101"/>
    <mergeCell ref="A105:AJ105"/>
    <mergeCell ref="A106:AJ106"/>
    <mergeCell ref="B107:D107"/>
    <mergeCell ref="F107:AE107"/>
    <mergeCell ref="A109:A110"/>
    <mergeCell ref="B109:D109"/>
    <mergeCell ref="E109:G109"/>
    <mergeCell ref="H109:J109"/>
    <mergeCell ref="K109:M109"/>
    <mergeCell ref="N109:P109"/>
    <mergeCell ref="Q109:S109"/>
    <mergeCell ref="T109:V109"/>
    <mergeCell ref="W109:Y109"/>
    <mergeCell ref="Z109:AB109"/>
    <mergeCell ref="AC109:AC110"/>
    <mergeCell ref="AD109:AD110"/>
    <mergeCell ref="AE109:AE110"/>
    <mergeCell ref="AF109:AJ110"/>
    <mergeCell ref="B98:D98"/>
    <mergeCell ref="E98:F98"/>
    <mergeCell ref="I98:J98"/>
    <mergeCell ref="K98:N98"/>
    <mergeCell ref="B99:D99"/>
    <mergeCell ref="E99:F99"/>
    <mergeCell ref="I99:J99"/>
    <mergeCell ref="K99:N99"/>
    <mergeCell ref="B100:D100"/>
    <mergeCell ref="E100:F100"/>
    <mergeCell ref="I100:J100"/>
    <mergeCell ref="K100:N100"/>
    <mergeCell ref="A95:F95"/>
    <mergeCell ref="H95:N95"/>
    <mergeCell ref="B96:D96"/>
    <mergeCell ref="E96:F96"/>
    <mergeCell ref="I96:J96"/>
    <mergeCell ref="K96:N96"/>
    <mergeCell ref="B97:D97"/>
    <mergeCell ref="E97:F97"/>
    <mergeCell ref="I97:J97"/>
    <mergeCell ref="K97:N97"/>
    <mergeCell ref="A70:B70"/>
    <mergeCell ref="D70:E70"/>
    <mergeCell ref="G70:H70"/>
    <mergeCell ref="J70:K70"/>
    <mergeCell ref="A72:B72"/>
    <mergeCell ref="D72:E72"/>
    <mergeCell ref="A73:B73"/>
    <mergeCell ref="D73:E73"/>
    <mergeCell ref="A76:R76"/>
    <mergeCell ref="A66:R66"/>
    <mergeCell ref="A68:B68"/>
    <mergeCell ref="D68:E68"/>
    <mergeCell ref="G68:H68"/>
    <mergeCell ref="J68:K68"/>
    <mergeCell ref="A69:B69"/>
    <mergeCell ref="D69:E69"/>
    <mergeCell ref="G69:H69"/>
    <mergeCell ref="J69:K69"/>
    <mergeCell ref="B43:D43"/>
    <mergeCell ref="E43:F43"/>
    <mergeCell ref="I43:J43"/>
    <mergeCell ref="K43:N43"/>
    <mergeCell ref="B44:D44"/>
    <mergeCell ref="E44:F44"/>
    <mergeCell ref="I44:J44"/>
    <mergeCell ref="K44:N44"/>
    <mergeCell ref="A65:R65"/>
    <mergeCell ref="B40:D40"/>
    <mergeCell ref="E40:F40"/>
    <mergeCell ref="I40:J40"/>
    <mergeCell ref="K40:N40"/>
    <mergeCell ref="B41:D41"/>
    <mergeCell ref="E41:F41"/>
    <mergeCell ref="I41:J41"/>
    <mergeCell ref="K41:N41"/>
    <mergeCell ref="B42:D42"/>
    <mergeCell ref="E42:F42"/>
    <mergeCell ref="I42:J42"/>
    <mergeCell ref="K42:N42"/>
    <mergeCell ref="A10:B10"/>
    <mergeCell ref="D10:E10"/>
    <mergeCell ref="A12:N12"/>
    <mergeCell ref="F13:G13"/>
    <mergeCell ref="A38:F38"/>
    <mergeCell ref="H38:N38"/>
    <mergeCell ref="B39:D39"/>
    <mergeCell ref="E39:F39"/>
    <mergeCell ref="I39:J39"/>
    <mergeCell ref="K39:N39"/>
    <mergeCell ref="A6:B6"/>
    <mergeCell ref="D6:E6"/>
    <mergeCell ref="G6:H6"/>
    <mergeCell ref="J6:K6"/>
    <mergeCell ref="A8:B8"/>
    <mergeCell ref="D8:E8"/>
    <mergeCell ref="J8:K8"/>
    <mergeCell ref="A9:B9"/>
    <mergeCell ref="D9:E9"/>
    <mergeCell ref="J9:K9"/>
    <mergeCell ref="A1:N1"/>
    <mergeCell ref="A2:N2"/>
    <mergeCell ref="A4:B4"/>
    <mergeCell ref="D4:E4"/>
    <mergeCell ref="G4:H4"/>
    <mergeCell ref="J4:K4"/>
    <mergeCell ref="A5:B5"/>
    <mergeCell ref="D5:E5"/>
    <mergeCell ref="G5:H5"/>
    <mergeCell ref="J5:K5"/>
  </mergeCells>
  <conditionalFormatting sqref="G120:G121">
    <cfRule type="cellIs" dxfId="52" priority="10" operator="greaterThanOrEqual">
      <formula>0</formula>
    </cfRule>
    <cfRule type="cellIs" dxfId="51" priority="11" operator="lessThan">
      <formula>0</formula>
    </cfRule>
  </conditionalFormatting>
  <conditionalFormatting sqref="G111:G119">
    <cfRule type="cellIs" dxfId="50" priority="12" operator="greaterThan">
      <formula>0</formula>
    </cfRule>
  </conditionalFormatting>
  <conditionalFormatting sqref="V111:V125">
    <cfRule type="cellIs" dxfId="49" priority="13" operator="lessThan">
      <formula>0</formula>
    </cfRule>
    <cfRule type="cellIs" dxfId="48" priority="14" operator="greaterThan">
      <formula>0</formula>
    </cfRule>
  </conditionalFormatting>
  <conditionalFormatting sqref="D111:D125">
    <cfRule type="cellIs" dxfId="47" priority="15" operator="greaterThanOrEqual">
      <formula>0</formula>
    </cfRule>
    <cfRule type="cellIs" dxfId="46" priority="16" operator="lessThan">
      <formula>0</formula>
    </cfRule>
  </conditionalFormatting>
  <conditionalFormatting sqref="G111:G119 G122:G125">
    <cfRule type="cellIs" dxfId="45" priority="17" operator="greaterThanOrEqual">
      <formula>0</formula>
    </cfRule>
    <cfRule type="cellIs" dxfId="44" priority="18" operator="lessThan">
      <formula>0</formula>
    </cfRule>
  </conditionalFormatting>
  <conditionalFormatting sqref="J111:J125">
    <cfRule type="cellIs" dxfId="43" priority="19" operator="greaterThanOrEqual">
      <formula>0</formula>
    </cfRule>
    <cfRule type="cellIs" dxfId="42" priority="20" operator="lessThan">
      <formula>0</formula>
    </cfRule>
  </conditionalFormatting>
  <conditionalFormatting sqref="M111:M125">
    <cfRule type="cellIs" dxfId="41" priority="21" operator="greaterThanOrEqual">
      <formula>0</formula>
    </cfRule>
    <cfRule type="cellIs" dxfId="40" priority="22" operator="lessThan">
      <formula>0</formula>
    </cfRule>
  </conditionalFormatting>
  <conditionalFormatting sqref="P111:P125">
    <cfRule type="cellIs" dxfId="39" priority="23" operator="greaterThanOrEqual">
      <formula>0</formula>
    </cfRule>
    <cfRule type="cellIs" dxfId="38" priority="24" operator="lessThan">
      <formula>0</formula>
    </cfRule>
  </conditionalFormatting>
  <conditionalFormatting sqref="S111:S125">
    <cfRule type="cellIs" dxfId="37" priority="25" operator="greaterThanOrEqual">
      <formula>0</formula>
    </cfRule>
    <cfRule type="cellIs" dxfId="36" priority="26" operator="lessThan">
      <formula>0</formula>
    </cfRule>
  </conditionalFormatting>
  <conditionalFormatting sqref="V111:V125">
    <cfRule type="cellIs" dxfId="35" priority="27" operator="greaterThanOrEqual">
      <formula>0</formula>
    </cfRule>
    <cfRule type="cellIs" dxfId="34" priority="28" operator="lessThan">
      <formula>0</formula>
    </cfRule>
  </conditionalFormatting>
  <conditionalFormatting sqref="B78:B92">
    <cfRule type="cellIs" dxfId="29" priority="33" operator="lessThan">
      <formula>0</formula>
    </cfRule>
    <cfRule type="cellIs" dxfId="28" priority="34" operator="greaterThanOrEqual">
      <formula>0</formula>
    </cfRule>
  </conditionalFormatting>
  <conditionalFormatting sqref="B14:B36">
    <cfRule type="cellIs" dxfId="27" priority="35" operator="lessThan">
      <formula>0</formula>
    </cfRule>
    <cfRule type="cellIs" dxfId="26" priority="36" operator="greaterThanOrEqual">
      <formula>0</formula>
    </cfRule>
  </conditionalFormatting>
  <conditionalFormatting sqref="C78:C92">
    <cfRule type="cellIs" dxfId="25" priority="37" operator="lessThan">
      <formula>0</formula>
    </cfRule>
    <cfRule type="cellIs" dxfId="24" priority="38" operator="greaterThanOrEqual">
      <formula>0</formula>
    </cfRule>
  </conditionalFormatting>
  <conditionalFormatting sqref="C14:C36">
    <cfRule type="cellIs" dxfId="23" priority="39" operator="lessThan">
      <formula>0</formula>
    </cfRule>
    <cfRule type="cellIs" dxfId="22" priority="40" operator="greaterThanOrEqual">
      <formula>0</formula>
    </cfRule>
  </conditionalFormatting>
  <conditionalFormatting sqref="D78:D92">
    <cfRule type="cellIs" dxfId="21" priority="41" operator="greaterThan">
      <formula>0</formula>
    </cfRule>
    <cfRule type="cellIs" dxfId="20" priority="42" operator="lessThanOrEqual">
      <formula>0</formula>
    </cfRule>
  </conditionalFormatting>
  <conditionalFormatting sqref="D14:D36">
    <cfRule type="cellIs" dxfId="19" priority="43" operator="greaterThan">
      <formula>0</formula>
    </cfRule>
    <cfRule type="cellIs" dxfId="18" priority="44" operator="lessThanOrEqual">
      <formula>0</formula>
    </cfRule>
  </conditionalFormatting>
  <conditionalFormatting sqref="E78:E92">
    <cfRule type="cellIs" dxfId="17" priority="45" operator="greaterThan">
      <formula>0</formula>
    </cfRule>
    <cfRule type="cellIs" dxfId="16" priority="46" operator="lessThanOrEqual">
      <formula>0</formula>
    </cfRule>
  </conditionalFormatting>
  <conditionalFormatting sqref="E14:E36">
    <cfRule type="cellIs" dxfId="15" priority="47" operator="greaterThanOrEqual">
      <formula>3</formula>
    </cfRule>
    <cfRule type="cellIs" dxfId="14" priority="48" operator="equal">
      <formula>0</formula>
    </cfRule>
  </conditionalFormatting>
  <conditionalFormatting sqref="F78:F92">
    <cfRule type="cellIs" dxfId="13" priority="49" operator="greaterThan">
      <formula>0</formula>
    </cfRule>
    <cfRule type="cellIs" dxfId="12" priority="50" operator="lessThanOrEqual">
      <formula>0</formula>
    </cfRule>
  </conditionalFormatting>
  <conditionalFormatting sqref="F14:F36">
    <cfRule type="expression" dxfId="11" priority="51">
      <formula>F14="ปกติ / ดี"</formula>
    </cfRule>
    <cfRule type="expression" dxfId="10" priority="52">
      <formula>AND(F14&lt;&gt;"ปกติ / ดี",F14&lt;&gt;"")</formula>
    </cfRule>
  </conditionalFormatting>
  <conditionalFormatting sqref="G78:G92">
    <cfRule type="expression" dxfId="9" priority="53">
      <formula>G78="ปกติ / ดี"</formula>
    </cfRule>
    <cfRule type="expression" dxfId="8" priority="54">
      <formula>AND(G78&lt;&gt;"ปกติ / ดี",G78&lt;&gt;"")</formula>
    </cfRule>
  </conditionalFormatting>
  <conditionalFormatting sqref="Y111:Y125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Y111:Y125">
    <cfRule type="cellIs" dxfId="5" priority="7" operator="greaterThanOrEqual">
      <formula>0</formula>
    </cfRule>
    <cfRule type="cellIs" dxfId="4" priority="8" operator="lessThan">
      <formula>0</formula>
    </cfRule>
  </conditionalFormatting>
  <conditionalFormatting sqref="AB111:AB125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AB111:AB125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VP. FS (พี่ ปอ) Natakorn Er.</dc:creator>
  <dc:description/>
  <cp:lastModifiedBy>VP. FS (พี่ ปอ) Natakorn Er.</cp:lastModifiedBy>
  <cp:revision>13</cp:revision>
  <dcterms:created xsi:type="dcterms:W3CDTF">2026-07-06T15:16:00Z</dcterms:created>
  <dcterms:modified xsi:type="dcterms:W3CDTF">2026-09-10T15:30:10Z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077DBA46B29E469DA037591B66EF98B9_12</vt:lpwstr>
  </property>
  <property fmtid="{D5CDD505-2E9C-101B-9397-08002B2CF9AE}" pid="4" name="KSOProductBuildVer">
    <vt:lpwstr>1033-12.1.0.26886</vt:lpwstr>
  </property>
</Properties>
</file>